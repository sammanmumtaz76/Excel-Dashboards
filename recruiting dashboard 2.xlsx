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NEW\OneDrive\Desktop\excel data\"/>
    </mc:Choice>
  </mc:AlternateContent>
  <bookViews>
    <workbookView xWindow="0" yWindow="0" windowWidth="20490" windowHeight="9045" activeTab="1"/>
  </bookViews>
  <sheets>
    <sheet name="Pivot Table" sheetId="2" r:id="rId1"/>
    <sheet name="Job Role KP1s" sheetId="4" r:id="rId2"/>
    <sheet name="Recruiting Dashboard" sheetId="3" r:id="rId3"/>
    <sheet name="Master Data" sheetId="1" r:id="rId4"/>
  </sheets>
  <externalReferences>
    <externalReference r:id="rId5"/>
  </externalReferences>
  <definedNames>
    <definedName name="Category">[1]Drop_Downs!$A$2:$A$10</definedName>
    <definedName name="Prob_Impact_Rating">[1]Drop_Downs!$A$14:$A$16</definedName>
    <definedName name="Response_Strategy">[1]Drop_Downs!$A$20:$A$24</definedName>
    <definedName name="Slicer_Job_Title">#N/A</definedName>
    <definedName name="Slicer_Opening_Month">#N/A</definedName>
    <definedName name="Slicer_Recruiter_Name">#N/A</definedName>
    <definedName name="Slicer_Source">#N/A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2" l="1"/>
  <c r="J29" i="2"/>
  <c r="K35" i="2" l="1"/>
  <c r="K29" i="2"/>
  <c r="E93" i="2"/>
  <c r="E94" i="2"/>
  <c r="E95" i="2"/>
  <c r="E96" i="2"/>
  <c r="E92" i="2"/>
  <c r="D96" i="2"/>
  <c r="D95" i="2"/>
  <c r="D94" i="2"/>
  <c r="D93" i="2"/>
  <c r="D92" i="2"/>
  <c r="E86" i="2"/>
  <c r="E87" i="2"/>
  <c r="E88" i="2"/>
  <c r="E89" i="2"/>
  <c r="E85" i="2"/>
  <c r="D89" i="2"/>
  <c r="D88" i="2"/>
  <c r="D87" i="2"/>
  <c r="D86" i="2"/>
  <c r="D85" i="2"/>
  <c r="E79" i="2"/>
  <c r="E80" i="2"/>
  <c r="E81" i="2"/>
  <c r="E82" i="2"/>
  <c r="E78" i="2"/>
  <c r="D82" i="2"/>
  <c r="D81" i="2"/>
  <c r="D80" i="2"/>
  <c r="D79" i="2"/>
  <c r="D78" i="2"/>
  <c r="E72" i="2"/>
  <c r="E73" i="2"/>
  <c r="E74" i="2"/>
  <c r="E75" i="2"/>
  <c r="E71" i="2"/>
  <c r="D75" i="2"/>
  <c r="D74" i="2"/>
  <c r="D73" i="2"/>
  <c r="D72" i="2"/>
  <c r="D71" i="2"/>
  <c r="E64" i="2"/>
  <c r="E65" i="2"/>
  <c r="E66" i="2"/>
  <c r="E67" i="2"/>
  <c r="E63" i="2"/>
  <c r="D67" i="2"/>
  <c r="D66" i="2"/>
  <c r="D65" i="2"/>
  <c r="D64" i="2"/>
  <c r="D63" i="2"/>
  <c r="E57" i="2"/>
  <c r="E58" i="2"/>
  <c r="E59" i="2"/>
  <c r="E60" i="2"/>
  <c r="E56" i="2"/>
  <c r="D57" i="2"/>
  <c r="D58" i="2"/>
  <c r="D59" i="2"/>
  <c r="D60" i="2"/>
  <c r="D56" i="2"/>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G50" i="2"/>
  <c r="G51" i="2"/>
  <c r="G52" i="2"/>
  <c r="G53" i="2"/>
  <c r="G49" i="2"/>
  <c r="F50" i="2"/>
  <c r="F51" i="2"/>
  <c r="F52" i="2"/>
  <c r="F53" i="2"/>
  <c r="F49" i="2"/>
  <c r="E53" i="2"/>
  <c r="E52" i="2"/>
  <c r="E51" i="2"/>
  <c r="E50" i="2"/>
  <c r="E49" i="2"/>
  <c r="D53" i="2"/>
  <c r="D52" i="2"/>
  <c r="D51" i="2"/>
  <c r="D50" i="2"/>
  <c r="D49" i="2"/>
  <c r="G43" i="2"/>
  <c r="G44" i="2"/>
  <c r="G45" i="2"/>
  <c r="G46" i="2"/>
  <c r="G42" i="2"/>
  <c r="F43" i="2"/>
  <c r="F44" i="2"/>
  <c r="F45" i="2"/>
  <c r="F46" i="2"/>
  <c r="F42" i="2"/>
  <c r="E43" i="2"/>
  <c r="E44" i="2"/>
  <c r="E45" i="2"/>
  <c r="E42" i="2"/>
  <c r="E46" i="2"/>
  <c r="D43" i="2"/>
  <c r="D44" i="2"/>
  <c r="D45" i="2"/>
  <c r="D46" i="2"/>
  <c r="D42" i="2"/>
  <c r="G36" i="2"/>
  <c r="G37" i="2"/>
  <c r="G38" i="2"/>
  <c r="G39" i="2"/>
  <c r="G35" i="2"/>
  <c r="F36" i="2"/>
  <c r="F37" i="2"/>
  <c r="F38" i="2"/>
  <c r="F39" i="2"/>
  <c r="F35" i="2"/>
  <c r="E36" i="2"/>
  <c r="E37" i="2"/>
  <c r="E38" i="2"/>
  <c r="E39" i="2"/>
  <c r="E35" i="2"/>
  <c r="D36" i="2"/>
  <c r="D37" i="2"/>
  <c r="D38" i="2"/>
  <c r="D39" i="2"/>
  <c r="D35" i="2"/>
  <c r="G31" i="2"/>
  <c r="G32" i="2"/>
  <c r="G33" i="2"/>
  <c r="G30" i="2"/>
  <c r="F30" i="2"/>
  <c r="F31" i="2"/>
  <c r="F32" i="2"/>
  <c r="F33" i="2"/>
  <c r="F29" i="2"/>
  <c r="E32" i="2"/>
  <c r="E33" i="2"/>
  <c r="E31" i="2"/>
  <c r="D30" i="2"/>
  <c r="D31" i="2"/>
  <c r="D32" i="2"/>
  <c r="D33" i="2"/>
  <c r="D29" i="2"/>
  <c r="E30" i="2"/>
  <c r="J14" i="2"/>
  <c r="G29" i="2"/>
  <c r="J42" i="2"/>
  <c r="E29" i="2"/>
  <c r="J49" i="2"/>
  <c r="K14" i="2" l="1"/>
  <c r="K49" i="2"/>
  <c r="K42" i="2"/>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F15" i="2" l="1"/>
  <c r="F16" i="2"/>
  <c r="F17" i="2"/>
  <c r="F18" i="2"/>
  <c r="F14" i="2"/>
  <c r="E15" i="2"/>
  <c r="E16" i="2"/>
  <c r="E17" i="2"/>
  <c r="E18" i="2"/>
  <c r="E14" i="2"/>
  <c r="D15" i="2"/>
  <c r="D16" i="2"/>
  <c r="D17" i="2"/>
  <c r="D18" i="2"/>
  <c r="D14" i="2"/>
  <c r="G14" i="2"/>
  <c r="G18" i="2"/>
  <c r="G16" i="2"/>
  <c r="G15" i="2"/>
  <c r="G17" i="2"/>
  <c r="H3" i="2" l="1"/>
  <c r="G4" i="2"/>
  <c r="G5" i="2"/>
  <c r="G6" i="2"/>
  <c r="G7" i="2"/>
  <c r="G8" i="2"/>
  <c r="G3" i="2"/>
  <c r="F4" i="2"/>
  <c r="F5" i="2"/>
  <c r="F6" i="2"/>
  <c r="F7" i="2"/>
  <c r="F8" i="2"/>
  <c r="F3" i="2"/>
  <c r="E5" i="2"/>
  <c r="E6" i="2"/>
  <c r="E7" i="2"/>
  <c r="E8" i="2"/>
  <c r="E4" i="2"/>
  <c r="C12" i="2"/>
  <c r="D12" i="2"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D7" i="2"/>
  <c r="D5" i="2"/>
  <c r="D4" i="2"/>
  <c r="D8" i="2"/>
  <c r="D6" i="2"/>
  <c r="H8" i="2" l="1"/>
  <c r="H5" i="2"/>
  <c r="H6" i="2"/>
  <c r="H4" i="2"/>
  <c r="H7" i="2"/>
</calcChain>
</file>

<file path=xl/sharedStrings.xml><?xml version="1.0" encoding="utf-8"?>
<sst xmlns="http://schemas.openxmlformats.org/spreadsheetml/2006/main" count="303" uniqueCount="66">
  <si>
    <t>Job Opening Date</t>
  </si>
  <si>
    <t>Recruiter Name</t>
  </si>
  <si>
    <t>Job Title</t>
  </si>
  <si>
    <t>Source</t>
  </si>
  <si>
    <t>Total Applications</t>
  </si>
  <si>
    <t>Total Shortlisted</t>
  </si>
  <si>
    <t>Total Contacted</t>
  </si>
  <si>
    <t>Total Interviewed</t>
  </si>
  <si>
    <t>Total Rejected</t>
  </si>
  <si>
    <t>Total Selected</t>
  </si>
  <si>
    <t>Total Hired</t>
  </si>
  <si>
    <t>Final Joining Date</t>
  </si>
  <si>
    <t>Process Duration</t>
  </si>
  <si>
    <t>John Doe</t>
  </si>
  <si>
    <t>Data Analyst</t>
  </si>
  <si>
    <t>GitHub</t>
  </si>
  <si>
    <t>Nina Patel</t>
  </si>
  <si>
    <t>Backend Developer</t>
  </si>
  <si>
    <t>Stack Overflow</t>
  </si>
  <si>
    <t>Indeed</t>
  </si>
  <si>
    <t>Maria Garcia</t>
  </si>
  <si>
    <t>Frontend Developer</t>
  </si>
  <si>
    <t>Alice Smith</t>
  </si>
  <si>
    <t>DevOps Engineer</t>
  </si>
  <si>
    <t>Referral</t>
  </si>
  <si>
    <t>Tom Lee</t>
  </si>
  <si>
    <t>Software Engineer</t>
  </si>
  <si>
    <t>LinkedIn</t>
  </si>
  <si>
    <t>Sum of Total Applications</t>
  </si>
  <si>
    <t>Sum of Total Shortlisted</t>
  </si>
  <si>
    <t>Row Labels</t>
  </si>
  <si>
    <t>Total Application To Shorlisted</t>
  </si>
  <si>
    <t>Total Application To Shortlisted</t>
  </si>
  <si>
    <t>Sum of Total Contacted</t>
  </si>
  <si>
    <t>Shortlisted to Contracted</t>
  </si>
  <si>
    <t>Shortlisted</t>
  </si>
  <si>
    <t>Contracted</t>
  </si>
  <si>
    <t>Sum of Total Interviewed</t>
  </si>
  <si>
    <t>Sum of Total Rejected</t>
  </si>
  <si>
    <t>Sum of Total Selected</t>
  </si>
  <si>
    <t>Sum of Total Hired</t>
  </si>
  <si>
    <t>Application To Shortlisted%</t>
  </si>
  <si>
    <t xml:space="preserve"> Shortlisted  to Contacted %</t>
  </si>
  <si>
    <t>Contacted to Interviewd %</t>
  </si>
  <si>
    <t>Interviewed To Rejected</t>
  </si>
  <si>
    <t>Interviewed To Selected</t>
  </si>
  <si>
    <t>Selected To Hired</t>
  </si>
  <si>
    <t>Contacted</t>
  </si>
  <si>
    <t>Interviewed</t>
  </si>
  <si>
    <t>Contacted To Interviewed</t>
  </si>
  <si>
    <t>Selected</t>
  </si>
  <si>
    <t>Interviewed to selected</t>
  </si>
  <si>
    <t>Rejected</t>
  </si>
  <si>
    <t>Interviewed to Rejected %</t>
  </si>
  <si>
    <t>Hired</t>
  </si>
  <si>
    <t>Shortlisted To Contacted</t>
  </si>
  <si>
    <t>Interviewed To Rejected %</t>
  </si>
  <si>
    <t>Contacted To Interviewed %</t>
  </si>
  <si>
    <t>Interviewed To Selected %</t>
  </si>
  <si>
    <t>Selected To Hired %</t>
  </si>
  <si>
    <t>Opening Month</t>
  </si>
  <si>
    <t>Sum of Process Duration</t>
  </si>
  <si>
    <t>Application To Shortlisted</t>
  </si>
  <si>
    <t>Remained</t>
  </si>
  <si>
    <t>Total</t>
  </si>
  <si>
    <t>Remainder</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</si>
</sst>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Aptos Narrow"/>
      <family val="2"/>
      <scheme val="minor"/>
    </font>
    <font>
      <b/>
      <sz val="11"/>
      <color theme="1"/>
      <name val="Aptos Narrow"/>
      <family val="2"/>
      <scheme val="minor"/>
    </font>
    <font>
      <sz val="11"/>
      <color theme="1"/>
      <name val="Aptos Narrow"/>
      <family val="2"/>
      <scheme val="minor"/>
    </font>
    <font>
      <b/>
      <sz val="11"/>
      <color theme="1"/>
      <name val="Aptos Narrow"/>
      <scheme val="minor"/>
    </font>
  </fonts>
  <fills count="4">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1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wrapText="1"/>
    </xf>
    <xf numFmtId="0" fontId="0" fillId="0" borderId="0" xfId="0" applyAlignment="1">
      <alignment wrapText="1"/>
    </xf>
    <xf numFmtId="14" fontId="0" fillId="0" borderId="0" xfId="0" applyNumberFormat="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2" borderId="0" xfId="0" applyFill="1"/>
    <xf numFmtId="0" fontId="3" fillId="0" borderId="1" xfId="0" applyFont="1" applyBorder="1" applyAlignment="1">
      <alignment horizontal="center" vertical="center" wrapText="1"/>
    </xf>
    <xf numFmtId="9" fontId="0" fillId="0" borderId="0" xfId="1" applyFont="1" applyAlignment="1">
      <alignment horizontal="center" vertical="center" wrapText="1"/>
    </xf>
    <xf numFmtId="0" fontId="1" fillId="3" borderId="2" xfId="0" applyFont="1" applyFill="1" applyBorder="1"/>
    <xf numFmtId="9" fontId="0" fillId="0" borderId="0" xfId="0" applyNumberFormat="1"/>
  </cellXfs>
  <cellStyles count="2">
    <cellStyle name="Normal" xfId="0" builtinId="0"/>
    <cellStyle name="Percent" xfId="1" builtinId="5"/>
  </cellStyles>
  <dxfs count="24">
    <dxf>
      <numFmt numFmtId="13" formatCode="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m/d/yyyy"/>
      <alignment horizontal="general" vertical="bottom" textRotation="0" wrapText="1" indent="0" justifyLastLine="0" shrinkToFit="0" readingOrder="0"/>
    </dxf>
    <dxf>
      <border outline="0">
        <top style="thin">
          <color auto="1"/>
        </top>
      </border>
    </dxf>
    <dxf>
      <alignment horizontal="center"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scheme val="minor"/>
      </font>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333333"/>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2276605503021E-2"/>
          <c:y val="0"/>
          <c:w val="0.93888888888888888"/>
          <c:h val="0.80140347039953341"/>
        </c:manualLayout>
      </c:layout>
      <c:barChart>
        <c:barDir val="col"/>
        <c:grouping val="stacked"/>
        <c:varyColors val="0"/>
        <c:ser>
          <c:idx val="0"/>
          <c:order val="0"/>
          <c:tx>
            <c:strRef>
              <c:f>'Pivot Table'!$E$55</c:f>
              <c:strCache>
                <c:ptCount val="1"/>
                <c:pt idx="0">
                  <c:v>Selected To Hired</c:v>
                </c:pt>
              </c:strCache>
            </c:strRef>
          </c:tx>
          <c:spPr>
            <a:gradFill>
              <a:gsLst>
                <a:gs pos="4000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Table'!$D$56:$D$60</c:f>
              <c:strCache>
                <c:ptCount val="5"/>
                <c:pt idx="0">
                  <c:v>Backend Developer</c:v>
                </c:pt>
                <c:pt idx="1">
                  <c:v>Data Analyst</c:v>
                </c:pt>
                <c:pt idx="2">
                  <c:v>DevOps Engineer</c:v>
                </c:pt>
                <c:pt idx="3">
                  <c:v>Frontend Developer</c:v>
                </c:pt>
                <c:pt idx="4">
                  <c:v>Software Engineer</c:v>
                </c:pt>
              </c:strCache>
            </c:strRef>
          </c:cat>
          <c:val>
            <c:numRef>
              <c:f>'Pivot Table'!$E$56:$E$60</c:f>
              <c:numCache>
                <c:formatCode>0%</c:formatCode>
                <c:ptCount val="5"/>
                <c:pt idx="0">
                  <c:v>0.27272727272727271</c:v>
                </c:pt>
                <c:pt idx="1">
                  <c:v>0.22784810126582278</c:v>
                </c:pt>
                <c:pt idx="2">
                  <c:v>0.24299065420560748</c:v>
                </c:pt>
                <c:pt idx="3">
                  <c:v>0.28235294117647058</c:v>
                </c:pt>
                <c:pt idx="4">
                  <c:v>0.30102040816326531</c:v>
                </c:pt>
              </c:numCache>
            </c:numRef>
          </c:val>
        </c:ser>
        <c:dLbls>
          <c:dLblPos val="ctr"/>
          <c:showLegendKey val="0"/>
          <c:showVal val="1"/>
          <c:showCatName val="0"/>
          <c:showSerName val="0"/>
          <c:showPercent val="0"/>
          <c:showBubbleSize val="0"/>
        </c:dLbls>
        <c:gapWidth val="150"/>
        <c:overlap val="100"/>
        <c:axId val="263838080"/>
        <c:axId val="263887504"/>
      </c:barChart>
      <c:catAx>
        <c:axId val="26383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j-lt"/>
                <a:ea typeface="+mn-ea"/>
                <a:cs typeface="+mn-cs"/>
              </a:defRPr>
            </a:pPr>
            <a:endParaRPr lang="en-US"/>
          </a:p>
        </c:txPr>
        <c:crossAx val="263887504"/>
        <c:crosses val="autoZero"/>
        <c:auto val="1"/>
        <c:lblAlgn val="ctr"/>
        <c:lblOffset val="100"/>
        <c:noMultiLvlLbl val="0"/>
      </c:catAx>
      <c:valAx>
        <c:axId val="263887504"/>
        <c:scaling>
          <c:orientation val="minMax"/>
        </c:scaling>
        <c:delete val="1"/>
        <c:axPos val="l"/>
        <c:numFmt formatCode="0%" sourceLinked="1"/>
        <c:majorTickMark val="none"/>
        <c:minorTickMark val="none"/>
        <c:tickLblPos val="nextTo"/>
        <c:crossAx val="2638380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latin typeface="+mj-l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313891138138916"/>
          <c:y val="9.4869001068300957E-2"/>
          <c:w val="0.31844825998740944"/>
          <c:h val="0.61384131911415007"/>
        </c:manualLayout>
      </c:layout>
      <c:doughnutChart>
        <c:varyColors val="1"/>
        <c:ser>
          <c:idx val="0"/>
          <c:order val="0"/>
          <c:tx>
            <c:strRef>
              <c:f>'Pivot Table'!$E$62</c:f>
              <c:strCache>
                <c:ptCount val="1"/>
                <c:pt idx="0">
                  <c:v>Application To Shortlisted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Table'!$D$63:$D$67</c:f>
              <c:strCache>
                <c:ptCount val="5"/>
                <c:pt idx="0">
                  <c:v>Backend Developer</c:v>
                </c:pt>
                <c:pt idx="1">
                  <c:v>Data Analyst</c:v>
                </c:pt>
                <c:pt idx="2">
                  <c:v>DevOps Engineer</c:v>
                </c:pt>
                <c:pt idx="3">
                  <c:v>Frontend Developer</c:v>
                </c:pt>
                <c:pt idx="4">
                  <c:v>Software Engineer</c:v>
                </c:pt>
              </c:strCache>
            </c:strRef>
          </c:cat>
          <c:val>
            <c:numRef>
              <c:f>'Pivot Table'!$E$63:$E$67</c:f>
              <c:numCache>
                <c:formatCode>0%</c:formatCode>
                <c:ptCount val="5"/>
                <c:pt idx="0">
                  <c:v>0.72258064516129028</c:v>
                </c:pt>
                <c:pt idx="1">
                  <c:v>0.8144078144078144</c:v>
                </c:pt>
                <c:pt idx="2">
                  <c:v>0.7430894308943089</c:v>
                </c:pt>
                <c:pt idx="3">
                  <c:v>0.76666666666666672</c:v>
                </c:pt>
                <c:pt idx="4">
                  <c:v>0.71135781383432961</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5186305183817297"/>
          <c:y val="0.10915264398492389"/>
          <c:w val="0.38874570559227939"/>
          <c:h val="0.5930207517736311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j-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777777777777779E-3"/>
          <c:y val="0.20444444444444446"/>
          <c:w val="0.93888888888888888"/>
          <c:h val="0.60804806065908423"/>
        </c:manualLayout>
      </c:layout>
      <c:lineChart>
        <c:grouping val="standard"/>
        <c:varyColors val="0"/>
        <c:ser>
          <c:idx val="0"/>
          <c:order val="0"/>
          <c:tx>
            <c:strRef>
              <c:f>'Pivot Table'!$E$70</c:f>
              <c:strCache>
                <c:ptCount val="1"/>
                <c:pt idx="0">
                  <c:v>Shortlisted To Contacted</c:v>
                </c:pt>
              </c:strCache>
            </c:strRef>
          </c:tx>
          <c:spPr>
            <a:ln w="88900" cap="rnd">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s>
            <c:dLbl>
              <c:idx val="1"/>
              <c:layout>
                <c:manualLayout>
                  <c:x val="-5.2798775153105812E-2"/>
                  <c:y val="-0.1365184018664333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Table'!$D$71:$D$75</c:f>
              <c:strCache>
                <c:ptCount val="5"/>
                <c:pt idx="0">
                  <c:v>Backend Developer</c:v>
                </c:pt>
                <c:pt idx="1">
                  <c:v>Data Analyst</c:v>
                </c:pt>
                <c:pt idx="2">
                  <c:v>DevOps Engineer</c:v>
                </c:pt>
                <c:pt idx="3">
                  <c:v>Frontend Developer</c:v>
                </c:pt>
                <c:pt idx="4">
                  <c:v>Software Engineer</c:v>
                </c:pt>
              </c:strCache>
            </c:strRef>
          </c:cat>
          <c:val>
            <c:numRef>
              <c:f>'Pivot Table'!$E$71:$E$75</c:f>
              <c:numCache>
                <c:formatCode>0%</c:formatCode>
                <c:ptCount val="5"/>
                <c:pt idx="0">
                  <c:v>0.7611607142857143</c:v>
                </c:pt>
                <c:pt idx="1">
                  <c:v>0.67466266866566715</c:v>
                </c:pt>
                <c:pt idx="2">
                  <c:v>0.78336980306345738</c:v>
                </c:pt>
                <c:pt idx="3">
                  <c:v>0.79619565217391308</c:v>
                </c:pt>
                <c:pt idx="4">
                  <c:v>0.75870348139255706</c:v>
                </c:pt>
              </c:numCache>
            </c:numRef>
          </c:val>
          <c:smooth val="0"/>
        </c:ser>
        <c:dLbls>
          <c:dLblPos val="t"/>
          <c:showLegendKey val="0"/>
          <c:showVal val="1"/>
          <c:showCatName val="0"/>
          <c:showSerName val="0"/>
          <c:showPercent val="0"/>
          <c:showBubbleSize val="0"/>
        </c:dLbls>
        <c:smooth val="0"/>
        <c:axId val="264332752"/>
        <c:axId val="264333136"/>
      </c:lineChart>
      <c:catAx>
        <c:axId val="26433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j-lt"/>
                <a:ea typeface="+mn-ea"/>
                <a:cs typeface="+mn-cs"/>
              </a:defRPr>
            </a:pPr>
            <a:endParaRPr lang="en-US"/>
          </a:p>
        </c:txPr>
        <c:crossAx val="264333136"/>
        <c:crosses val="autoZero"/>
        <c:auto val="1"/>
        <c:lblAlgn val="ctr"/>
        <c:lblOffset val="100"/>
        <c:noMultiLvlLbl val="0"/>
      </c:catAx>
      <c:valAx>
        <c:axId val="264333136"/>
        <c:scaling>
          <c:orientation val="minMax"/>
        </c:scaling>
        <c:delete val="1"/>
        <c:axPos val="l"/>
        <c:numFmt formatCode="0%" sourceLinked="1"/>
        <c:majorTickMark val="none"/>
        <c:minorTickMark val="none"/>
        <c:tickLblPos val="nextTo"/>
        <c:crossAx val="2643327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'Pivot Table'!$E$77</c:f>
              <c:strCache>
                <c:ptCount val="1"/>
                <c:pt idx="0">
                  <c:v>Contacted To Interviewed</c:v>
                </c:pt>
              </c:strCache>
            </c:strRef>
          </c:tx>
          <c:spPr>
            <a:gradFill>
              <a:gsLst>
                <a:gs pos="2100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Table'!$D$78:$D$82</c:f>
              <c:strCache>
                <c:ptCount val="5"/>
                <c:pt idx="0">
                  <c:v>Backend Developer</c:v>
                </c:pt>
                <c:pt idx="1">
                  <c:v>Data Analyst</c:v>
                </c:pt>
                <c:pt idx="2">
                  <c:v>DevOps Engineer</c:v>
                </c:pt>
                <c:pt idx="3">
                  <c:v>Frontend Developer</c:v>
                </c:pt>
                <c:pt idx="4">
                  <c:v>Software Engineer</c:v>
                </c:pt>
              </c:strCache>
            </c:strRef>
          </c:cat>
          <c:val>
            <c:numRef>
              <c:f>'Pivot Table'!$E$78:$E$82</c:f>
              <c:numCache>
                <c:formatCode>0%</c:formatCode>
                <c:ptCount val="5"/>
                <c:pt idx="0">
                  <c:v>0.74486803519061584</c:v>
                </c:pt>
                <c:pt idx="1">
                  <c:v>0.89333333333333331</c:v>
                </c:pt>
                <c:pt idx="2">
                  <c:v>0.70670391061452509</c:v>
                </c:pt>
                <c:pt idx="3">
                  <c:v>0.7303754266211604</c:v>
                </c:pt>
                <c:pt idx="4">
                  <c:v>0.78639240506329111</c:v>
                </c:pt>
              </c:numCache>
            </c:numRef>
          </c:val>
        </c:ser>
        <c:dLbls>
          <c:showLegendKey val="0"/>
          <c:showVal val="1"/>
          <c:showCatName val="0"/>
          <c:showSerName val="0"/>
          <c:showPercent val="0"/>
          <c:showBubbleSize val="0"/>
        </c:dLbls>
        <c:axId val="218888688"/>
        <c:axId val="218889080"/>
      </c:areaChart>
      <c:catAx>
        <c:axId val="218888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j-lt"/>
                <a:ea typeface="+mn-ea"/>
                <a:cs typeface="+mn-cs"/>
              </a:defRPr>
            </a:pPr>
            <a:endParaRPr lang="en-US"/>
          </a:p>
        </c:txPr>
        <c:crossAx val="218889080"/>
        <c:crosses val="autoZero"/>
        <c:auto val="1"/>
        <c:lblAlgn val="ctr"/>
        <c:lblOffset val="100"/>
        <c:noMultiLvlLbl val="0"/>
      </c:catAx>
      <c:valAx>
        <c:axId val="218889080"/>
        <c:scaling>
          <c:orientation val="minMax"/>
        </c:scaling>
        <c:delete val="1"/>
        <c:axPos val="l"/>
        <c:numFmt formatCode="0%" sourceLinked="1"/>
        <c:majorTickMark val="none"/>
        <c:minorTickMark val="none"/>
        <c:tickLblPos val="nextTo"/>
        <c:crossAx val="21888868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485994256128142"/>
          <c:y val="0.12882765451134251"/>
          <c:w val="0.64303302726316636"/>
          <c:h val="0.87117234548865752"/>
        </c:manualLayout>
      </c:layout>
      <c:barChart>
        <c:barDir val="bar"/>
        <c:grouping val="clustered"/>
        <c:varyColors val="0"/>
        <c:ser>
          <c:idx val="0"/>
          <c:order val="0"/>
          <c:tx>
            <c:strRef>
              <c:f>'Pivot Table'!$E$84</c:f>
              <c:strCache>
                <c:ptCount val="1"/>
                <c:pt idx="0">
                  <c:v>Interviewed To Selected</c:v>
                </c:pt>
              </c:strCache>
            </c:strRef>
          </c:tx>
          <c:spPr>
            <a:gradFill>
              <a:gsLst>
                <a:gs pos="2100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Table'!$D$85:$D$89</c:f>
              <c:strCache>
                <c:ptCount val="5"/>
                <c:pt idx="0">
                  <c:v>Backend Developer</c:v>
                </c:pt>
                <c:pt idx="1">
                  <c:v>Data Analyst</c:v>
                </c:pt>
                <c:pt idx="2">
                  <c:v>DevOps Engineer</c:v>
                </c:pt>
                <c:pt idx="3">
                  <c:v>Frontend Developer</c:v>
                </c:pt>
                <c:pt idx="4">
                  <c:v>Software Engineer</c:v>
                </c:pt>
              </c:strCache>
            </c:strRef>
          </c:cat>
          <c:val>
            <c:numRef>
              <c:f>'Pivot Table'!$E$85:$E$89</c:f>
              <c:numCache>
                <c:formatCode>0%</c:formatCode>
                <c:ptCount val="5"/>
                <c:pt idx="0">
                  <c:v>0.38976377952755903</c:v>
                </c:pt>
                <c:pt idx="1">
                  <c:v>0.39303482587064675</c:v>
                </c:pt>
                <c:pt idx="2">
                  <c:v>0.42292490118577075</c:v>
                </c:pt>
                <c:pt idx="3">
                  <c:v>0.39719626168224298</c:v>
                </c:pt>
                <c:pt idx="4">
                  <c:v>0.39436619718309857</c:v>
                </c:pt>
              </c:numCache>
            </c:numRef>
          </c:val>
        </c:ser>
        <c:dLbls>
          <c:dLblPos val="outEnd"/>
          <c:showLegendKey val="0"/>
          <c:showVal val="1"/>
          <c:showCatName val="0"/>
          <c:showSerName val="0"/>
          <c:showPercent val="0"/>
          <c:showBubbleSize val="0"/>
        </c:dLbls>
        <c:gapWidth val="182"/>
        <c:axId val="264425104"/>
        <c:axId val="264423144"/>
      </c:barChart>
      <c:catAx>
        <c:axId val="264425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j-lt"/>
                <a:ea typeface="+mn-ea"/>
                <a:cs typeface="+mn-cs"/>
              </a:defRPr>
            </a:pPr>
            <a:endParaRPr lang="en-US"/>
          </a:p>
        </c:txPr>
        <c:crossAx val="264423144"/>
        <c:crosses val="autoZero"/>
        <c:auto val="1"/>
        <c:lblAlgn val="ctr"/>
        <c:lblOffset val="100"/>
        <c:noMultiLvlLbl val="0"/>
      </c:catAx>
      <c:valAx>
        <c:axId val="264423144"/>
        <c:scaling>
          <c:orientation val="minMax"/>
        </c:scaling>
        <c:delete val="1"/>
        <c:axPos val="b"/>
        <c:numFmt formatCode="0%" sourceLinked="1"/>
        <c:majorTickMark val="none"/>
        <c:minorTickMark val="none"/>
        <c:tickLblPos val="nextTo"/>
        <c:crossAx val="2644251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333333333333333E-2"/>
          <c:y val="7.3563271654102022E-2"/>
          <c:w val="0.93888888888888888"/>
          <c:h val="0.73703061178190132"/>
        </c:manualLayout>
      </c:layout>
      <c:lineChart>
        <c:grouping val="stacked"/>
        <c:varyColors val="0"/>
        <c:ser>
          <c:idx val="0"/>
          <c:order val="0"/>
          <c:tx>
            <c:strRef>
              <c:f>'Pivot Table'!$E$91</c:f>
              <c:strCache>
                <c:ptCount val="1"/>
                <c:pt idx="0">
                  <c:v>Interviewed To Rejected</c:v>
                </c:pt>
              </c:strCache>
            </c:strRef>
          </c:tx>
          <c:spPr>
            <a:ln w="73025" cap="rnd">
              <a:gradFill>
                <a:gsLst>
                  <a:gs pos="3500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Table'!$D$92:$D$96</c:f>
              <c:strCache>
                <c:ptCount val="5"/>
                <c:pt idx="0">
                  <c:v>Backend Developer</c:v>
                </c:pt>
                <c:pt idx="1">
                  <c:v>Data Analyst</c:v>
                </c:pt>
                <c:pt idx="2">
                  <c:v>DevOps Engineer</c:v>
                </c:pt>
                <c:pt idx="3">
                  <c:v>Frontend Developer</c:v>
                </c:pt>
                <c:pt idx="4">
                  <c:v>Software Engineer</c:v>
                </c:pt>
              </c:strCache>
            </c:strRef>
          </c:cat>
          <c:val>
            <c:numRef>
              <c:f>'Pivot Table'!$E$92:$E$96</c:f>
              <c:numCache>
                <c:formatCode>0%</c:formatCode>
                <c:ptCount val="5"/>
                <c:pt idx="0">
                  <c:v>0.71653543307086609</c:v>
                </c:pt>
                <c:pt idx="1">
                  <c:v>0.63184079601990051</c:v>
                </c:pt>
                <c:pt idx="2">
                  <c:v>0.69565217391304346</c:v>
                </c:pt>
                <c:pt idx="3">
                  <c:v>0.69158878504672894</c:v>
                </c:pt>
                <c:pt idx="4">
                  <c:v>0.64185110663983902</c:v>
                </c:pt>
              </c:numCache>
            </c:numRef>
          </c:val>
          <c:smooth val="0"/>
        </c:ser>
        <c:dLbls>
          <c:dLblPos val="t"/>
          <c:showLegendKey val="0"/>
          <c:showVal val="1"/>
          <c:showCatName val="0"/>
          <c:showSerName val="0"/>
          <c:showPercent val="0"/>
          <c:showBubbleSize val="0"/>
        </c:dLbls>
        <c:smooth val="0"/>
        <c:axId val="264423928"/>
        <c:axId val="264429024"/>
      </c:lineChart>
      <c:catAx>
        <c:axId val="26442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j-lt"/>
                <a:ea typeface="+mn-ea"/>
                <a:cs typeface="+mn-cs"/>
              </a:defRPr>
            </a:pPr>
            <a:endParaRPr lang="en-US"/>
          </a:p>
        </c:txPr>
        <c:crossAx val="264429024"/>
        <c:crosses val="autoZero"/>
        <c:auto val="1"/>
        <c:lblAlgn val="ctr"/>
        <c:lblOffset val="100"/>
        <c:noMultiLvlLbl val="0"/>
      </c:catAx>
      <c:valAx>
        <c:axId val="264429024"/>
        <c:scaling>
          <c:orientation val="minMax"/>
        </c:scaling>
        <c:delete val="1"/>
        <c:axPos val="l"/>
        <c:numFmt formatCode="0%" sourceLinked="1"/>
        <c:majorTickMark val="none"/>
        <c:minorTickMark val="none"/>
        <c:tickLblPos val="nextTo"/>
        <c:crossAx val="264423928"/>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[recruiting dashboard 2.xlsx]Pivot Table!PivotTable2</c:name>
    <c:fmtId val="7"/>
  </c:pivotSource>
  <c:chart>
    <c:autoTitleDeleted val="0"/>
    <c:pivotFmts>
      <c:pivotFmt>
        <c:idx val="0"/>
        <c:spPr>
          <a:solidFill>
            <a:schemeClr val="accent1"/>
          </a:solidFill>
          <a:ln w="34925">
            <a:solidFill>
              <a:schemeClr val="accent1">
                <a:shade val="50000"/>
              </a:schemeClr>
            </a:solidFill>
          </a:ln>
          <a:effectLst/>
        </c:spPr>
        <c:marker>
          <c:symbol val="none"/>
        </c:marker>
      </c:pivotFmt>
      <c:pivotFmt>
        <c:idx val="1"/>
        <c:spPr>
          <a:solidFill>
            <a:schemeClr val="accent1"/>
          </a:solidFill>
          <a:ln w="34925">
            <a:solidFill>
              <a:schemeClr val="accent4">
                <a:lumMod val="75000"/>
              </a:schemeClr>
            </a:solid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Table'!$B$13</c:f>
              <c:strCache>
                <c:ptCount val="1"/>
                <c:pt idx="0">
                  <c:v>Sum of Total Shortlisted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Table'!$A$14:$A$18</c:f>
              <c:strCache>
                <c:ptCount val="5"/>
                <c:pt idx="0">
                  <c:v>Alice Smith</c:v>
                </c:pt>
                <c:pt idx="1">
                  <c:v>John Doe</c:v>
                </c:pt>
                <c:pt idx="2">
                  <c:v>Maria Garcia</c:v>
                </c:pt>
                <c:pt idx="3">
                  <c:v>Nina Patel</c:v>
                </c:pt>
                <c:pt idx="4">
                  <c:v>Tom Lee</c:v>
                </c:pt>
              </c:strCache>
            </c:strRef>
          </c:cat>
          <c:val>
            <c:numRef>
              <c:f>'Pivot Table'!$B$14:$B$18</c:f>
              <c:numCache>
                <c:formatCode>General</c:formatCode>
                <c:ptCount val="5"/>
                <c:pt idx="0">
                  <c:v>567</c:v>
                </c:pt>
                <c:pt idx="1">
                  <c:v>549</c:v>
                </c:pt>
                <c:pt idx="2">
                  <c:v>631</c:v>
                </c:pt>
                <c:pt idx="3">
                  <c:v>372</c:v>
                </c:pt>
                <c:pt idx="4">
                  <c:v>654</c:v>
                </c:pt>
              </c:numCache>
            </c:numRef>
          </c:val>
        </c:ser>
        <c:ser>
          <c:idx val="1"/>
          <c:order val="1"/>
          <c:tx>
            <c:strRef>
              <c:f>'Pivot Table'!$C$13</c:f>
              <c:strCache>
                <c:ptCount val="1"/>
                <c:pt idx="0">
                  <c:v>Sum of Total Contacted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Table'!$A$14:$A$18</c:f>
              <c:strCache>
                <c:ptCount val="5"/>
                <c:pt idx="0">
                  <c:v>Alice Smith</c:v>
                </c:pt>
                <c:pt idx="1">
                  <c:v>John Doe</c:v>
                </c:pt>
                <c:pt idx="2">
                  <c:v>Maria Garcia</c:v>
                </c:pt>
                <c:pt idx="3">
                  <c:v>Nina Patel</c:v>
                </c:pt>
                <c:pt idx="4">
                  <c:v>Tom Lee</c:v>
                </c:pt>
              </c:strCache>
            </c:strRef>
          </c:cat>
          <c:val>
            <c:numRef>
              <c:f>'Pivot Table'!$C$14:$C$18</c:f>
              <c:numCache>
                <c:formatCode>General</c:formatCode>
                <c:ptCount val="5"/>
                <c:pt idx="0">
                  <c:v>377</c:v>
                </c:pt>
                <c:pt idx="1">
                  <c:v>400</c:v>
                </c:pt>
                <c:pt idx="2">
                  <c:v>505</c:v>
                </c:pt>
                <c:pt idx="3">
                  <c:v>282</c:v>
                </c:pt>
                <c:pt idx="4">
                  <c:v>510</c:v>
                </c:pt>
              </c:numCache>
            </c:numRef>
          </c:val>
        </c:ser>
        <c:dLbls>
          <c:dLblPos val="outEnd"/>
          <c:showLegendKey val="0"/>
          <c:showVal val="1"/>
          <c:showCatName val="0"/>
          <c:showSerName val="0"/>
          <c:showPercent val="0"/>
          <c:showBubbleSize val="0"/>
        </c:dLbls>
        <c:gapWidth val="244"/>
        <c:axId val="264427456"/>
        <c:axId val="264423536"/>
      </c:barChart>
      <c:catAx>
        <c:axId val="26442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4423536"/>
        <c:crosses val="autoZero"/>
        <c:auto val="1"/>
        <c:lblAlgn val="ctr"/>
        <c:lblOffset val="100"/>
        <c:noMultiLvlLbl val="0"/>
      </c:catAx>
      <c:valAx>
        <c:axId val="264423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4427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349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[recruiting dashboard 2.xlsx]Pivot Table!PivotTable14</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
          <c:y val="1.3888888888888888E-2"/>
          <c:w val="0.93888888888888888"/>
          <c:h val="0.84731481481481485"/>
        </c:manualLayout>
      </c:layout>
      <c:barChart>
        <c:barDir val="col"/>
        <c:grouping val="clustered"/>
        <c:varyColors val="0"/>
        <c:ser>
          <c:idx val="0"/>
          <c:order val="0"/>
          <c:tx>
            <c:strRef>
              <c:f>'Pivot Table'!$I$53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Table'!$H$54:$H$58</c:f>
              <c:strCache>
                <c:ptCount val="5"/>
                <c:pt idx="0">
                  <c:v>Alice Smith</c:v>
                </c:pt>
                <c:pt idx="1">
                  <c:v>John Doe</c:v>
                </c:pt>
                <c:pt idx="2">
                  <c:v>Maria Garcia</c:v>
                </c:pt>
                <c:pt idx="3">
                  <c:v>Nina Patel</c:v>
                </c:pt>
                <c:pt idx="4">
                  <c:v>Tom Lee</c:v>
                </c:pt>
              </c:strCache>
            </c:strRef>
          </c:cat>
          <c:val>
            <c:numRef>
              <c:f>'Pivot Table'!$I$54:$I$58</c:f>
              <c:numCache>
                <c:formatCode>General</c:formatCode>
                <c:ptCount val="5"/>
                <c:pt idx="0">
                  <c:v>217</c:v>
                </c:pt>
                <c:pt idx="1">
                  <c:v>218</c:v>
                </c:pt>
                <c:pt idx="2">
                  <c:v>259</c:v>
                </c:pt>
                <c:pt idx="3">
                  <c:v>138</c:v>
                </c:pt>
                <c:pt idx="4">
                  <c:v>247</c:v>
                </c:pt>
              </c:numCache>
            </c:numRef>
          </c:val>
        </c:ser>
        <c:dLbls>
          <c:dLblPos val="outEnd"/>
          <c:showLegendKey val="0"/>
          <c:showVal val="1"/>
          <c:showCatName val="0"/>
          <c:showSerName val="0"/>
          <c:showPercent val="0"/>
          <c:showBubbleSize val="0"/>
        </c:dLbls>
        <c:gapWidth val="219"/>
        <c:overlap val="-27"/>
        <c:axId val="264424712"/>
        <c:axId val="264427848"/>
      </c:barChart>
      <c:catAx>
        <c:axId val="264424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j-lt"/>
                <a:ea typeface="+mn-ea"/>
                <a:cs typeface="+mn-cs"/>
              </a:defRPr>
            </a:pPr>
            <a:endParaRPr lang="en-US"/>
          </a:p>
        </c:txPr>
        <c:crossAx val="264427848"/>
        <c:crosses val="autoZero"/>
        <c:auto val="1"/>
        <c:lblAlgn val="ctr"/>
        <c:lblOffset val="100"/>
        <c:noMultiLvlLbl val="0"/>
      </c:catAx>
      <c:valAx>
        <c:axId val="264427848"/>
        <c:scaling>
          <c:orientation val="minMax"/>
        </c:scaling>
        <c:delete val="1"/>
        <c:axPos val="l"/>
        <c:numFmt formatCode="General" sourceLinked="1"/>
        <c:majorTickMark val="none"/>
        <c:minorTickMark val="none"/>
        <c:tickLblPos val="nextTo"/>
        <c:crossAx val="2644247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lumMod val="50000"/>
                </a:schemeClr>
              </a:solidFill>
              <a:ln w="19050">
                <a:solidFill>
                  <a:schemeClr val="lt1"/>
                </a:solidFill>
              </a:ln>
              <a:effectLst/>
            </c:spPr>
          </c:dPt>
          <c:dPt>
            <c:idx val="1"/>
            <c:bubble3D val="0"/>
            <c:spPr>
              <a:solidFill>
                <a:schemeClr val="bg2"/>
              </a:solidFill>
              <a:ln w="19050">
                <a:solidFill>
                  <a:schemeClr val="lt1"/>
                </a:solidFill>
              </a:ln>
              <a:effectLst/>
            </c:spPr>
          </c:dPt>
          <c:dPt>
            <c:idx val="2"/>
            <c:bubble3D val="0"/>
            <c:spPr>
              <a:noFill/>
              <a:ln w="19050">
                <a:noFill/>
              </a:ln>
              <a:effectLst/>
            </c:spPr>
          </c:dPt>
          <c:cat>
            <c:strRef>
              <c:f>'Pivot Table'!$J$34:$L$34</c:f>
              <c:strCache>
                <c:ptCount val="3"/>
                <c:pt idx="0">
                  <c:v>Interviewed To Selected %</c:v>
                </c:pt>
                <c:pt idx="1">
                  <c:v>Remained</c:v>
                </c:pt>
                <c:pt idx="2">
                  <c:v>Total</c:v>
                </c:pt>
              </c:strCache>
            </c:strRef>
          </c:cat>
          <c:val>
            <c:numRef>
              <c:f>'Pivot Table'!$J$35:$L$35</c:f>
              <c:numCache>
                <c:formatCode>0%</c:formatCode>
                <c:ptCount val="3"/>
                <c:pt idx="0">
                  <c:v>0.39814814814814814</c:v>
                </c:pt>
                <c:pt idx="1">
                  <c:v>0.60185185185185186</c:v>
                </c:pt>
                <c:pt idx="2">
                  <c:v>1</c:v>
                </c:pt>
              </c:numCache>
            </c:numRef>
          </c:val>
        </c:ser>
        <c:dLbls>
          <c:showLegendKey val="0"/>
          <c:showVal val="0"/>
          <c:showCatName val="0"/>
          <c:showSerName val="0"/>
          <c:showPercent val="0"/>
          <c:showBubbleSize val="0"/>
          <c:showLeaderLines val="1"/>
        </c:dLbls>
        <c:firstSliceAng val="270"/>
        <c:holeSize val="72"/>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7030A0"/>
              </a:solidFill>
              <a:ln w="19050">
                <a:solidFill>
                  <a:schemeClr val="lt1"/>
                </a:solidFill>
              </a:ln>
              <a:effectLst/>
            </c:spPr>
          </c:dPt>
          <c:dPt>
            <c:idx val="1"/>
            <c:bubble3D val="0"/>
            <c:spPr>
              <a:solidFill>
                <a:schemeClr val="bg2">
                  <a:lumMod val="90000"/>
                </a:schemeClr>
              </a:solidFill>
              <a:ln w="19050">
                <a:solidFill>
                  <a:schemeClr val="lt1"/>
                </a:solidFill>
              </a:ln>
              <a:effectLst/>
            </c:spPr>
          </c:dPt>
          <c:dPt>
            <c:idx val="2"/>
            <c:bubble3D val="0"/>
            <c:spPr>
              <a:noFill/>
              <a:ln w="19050">
                <a:noFill/>
              </a:ln>
              <a:effectLst/>
            </c:spPr>
          </c:dPt>
          <c:cat>
            <c:strRef>
              <c:f>'Pivot Table'!$J$28:$L$28</c:f>
              <c:strCache>
                <c:ptCount val="3"/>
                <c:pt idx="0">
                  <c:v>Contacted To Interviewed %</c:v>
                </c:pt>
                <c:pt idx="1">
                  <c:v>Remained</c:v>
                </c:pt>
                <c:pt idx="2">
                  <c:v>Total</c:v>
                </c:pt>
              </c:strCache>
            </c:strRef>
          </c:cat>
          <c:val>
            <c:numRef>
              <c:f>'Pivot Table'!$J$29:$L$29</c:f>
              <c:numCache>
                <c:formatCode>0%</c:formatCode>
                <c:ptCount val="3"/>
                <c:pt idx="0">
                  <c:v>0.78109932497589196</c:v>
                </c:pt>
                <c:pt idx="1">
                  <c:v>0.21890067502410804</c:v>
                </c:pt>
                <c:pt idx="2">
                  <c:v>1</c:v>
                </c:pt>
              </c:numCache>
            </c:numRef>
          </c:val>
        </c:ser>
        <c:dLbls>
          <c:showLegendKey val="0"/>
          <c:showVal val="0"/>
          <c:showCatName val="0"/>
          <c:showSerName val="0"/>
          <c:showPercent val="0"/>
          <c:showBubbleSize val="0"/>
          <c:showLeaderLines val="1"/>
        </c:dLbls>
        <c:firstSliceAng val="270"/>
        <c:holeSize val="72"/>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C000"/>
              </a:solidFill>
              <a:ln w="19050">
                <a:solidFill>
                  <a:schemeClr val="lt1"/>
                </a:solidFill>
              </a:ln>
              <a:effectLst/>
            </c:spPr>
          </c:dPt>
          <c:dPt>
            <c:idx val="1"/>
            <c:bubble3D val="0"/>
            <c:spPr>
              <a:solidFill>
                <a:schemeClr val="bg2">
                  <a:lumMod val="90000"/>
                </a:schemeClr>
              </a:solidFill>
              <a:ln w="19050">
                <a:solidFill>
                  <a:schemeClr val="lt1"/>
                </a:solidFill>
              </a:ln>
              <a:effectLst/>
            </c:spPr>
          </c:dPt>
          <c:dPt>
            <c:idx val="2"/>
            <c:bubble3D val="0"/>
            <c:spPr>
              <a:noFill/>
              <a:ln w="19050">
                <a:noFill/>
              </a:ln>
              <a:effectLst/>
            </c:spPr>
          </c:dPt>
          <c:cat>
            <c:strRef>
              <c:f>'Pivot Table'!$C$11:$E$11</c:f>
              <c:strCache>
                <c:ptCount val="3"/>
                <c:pt idx="0">
                  <c:v>Total Application To Shortlisted</c:v>
                </c:pt>
                <c:pt idx="1">
                  <c:v>Remainder</c:v>
                </c:pt>
                <c:pt idx="2">
                  <c:v>Total</c:v>
                </c:pt>
              </c:strCache>
            </c:strRef>
          </c:cat>
          <c:val>
            <c:numRef>
              <c:f>'Pivot Table'!$C$12:$E$12</c:f>
              <c:numCache>
                <c:formatCode>0%</c:formatCode>
                <c:ptCount val="3"/>
                <c:pt idx="0">
                  <c:v>0.74844804318488534</c:v>
                </c:pt>
                <c:pt idx="1">
                  <c:v>0.25155195681511466</c:v>
                </c:pt>
                <c:pt idx="2">
                  <c:v>1</c:v>
                </c:pt>
              </c:numCache>
            </c:numRef>
          </c:val>
        </c:ser>
        <c:dLbls>
          <c:showLegendKey val="0"/>
          <c:showVal val="0"/>
          <c:showCatName val="0"/>
          <c:showSerName val="0"/>
          <c:showPercent val="0"/>
          <c:showBubbleSize val="0"/>
          <c:showLeaderLines val="1"/>
        </c:dLbls>
        <c:firstSliceAng val="271"/>
        <c:holeSize val="72"/>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dPt>
          <c:dPt>
            <c:idx val="1"/>
            <c:bubble3D val="0"/>
            <c:spPr>
              <a:solidFill>
                <a:schemeClr val="bg2">
                  <a:lumMod val="90000"/>
                </a:schemeClr>
              </a:solidFill>
              <a:ln w="19050">
                <a:solidFill>
                  <a:schemeClr val="lt1"/>
                </a:solidFill>
              </a:ln>
              <a:effectLst/>
            </c:spPr>
          </c:dPt>
          <c:dPt>
            <c:idx val="2"/>
            <c:bubble3D val="0"/>
            <c:spPr>
              <a:noFill/>
              <a:ln w="19050">
                <a:noFill/>
              </a:ln>
              <a:effectLst/>
            </c:spPr>
          </c:dPt>
          <c:cat>
            <c:strRef>
              <c:f>'Pivot Table'!$J$41:$L$41</c:f>
              <c:strCache>
                <c:ptCount val="3"/>
                <c:pt idx="0">
                  <c:v>Interviewed To Rejected %</c:v>
                </c:pt>
                <c:pt idx="1">
                  <c:v>Remained</c:v>
                </c:pt>
                <c:pt idx="2">
                  <c:v>Total</c:v>
                </c:pt>
              </c:strCache>
            </c:strRef>
          </c:cat>
          <c:val>
            <c:numRef>
              <c:f>'Pivot Table'!$J$42:$L$42</c:f>
              <c:numCache>
                <c:formatCode>0%</c:formatCode>
                <c:ptCount val="3"/>
                <c:pt idx="0">
                  <c:v>0.66604938271604941</c:v>
                </c:pt>
                <c:pt idx="1">
                  <c:v>0.33395061728395059</c:v>
                </c:pt>
                <c:pt idx="2">
                  <c:v>1</c:v>
                </c:pt>
              </c:numCache>
            </c:numRef>
          </c:val>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4">
                  <a:lumMod val="60000"/>
                  <a:lumOff val="40000"/>
                </a:schemeClr>
              </a:solidFill>
              <a:ln w="19050">
                <a:solidFill>
                  <a:schemeClr val="lt1"/>
                </a:solidFill>
              </a:ln>
              <a:effectLst/>
            </c:spPr>
          </c:dPt>
          <c:dPt>
            <c:idx val="1"/>
            <c:bubble3D val="0"/>
            <c:spPr>
              <a:solidFill>
                <a:schemeClr val="bg2">
                  <a:lumMod val="90000"/>
                </a:schemeClr>
              </a:solidFill>
              <a:ln w="19050">
                <a:solidFill>
                  <a:schemeClr val="lt1"/>
                </a:solidFill>
              </a:ln>
              <a:effectLst/>
            </c:spPr>
          </c:dPt>
          <c:dPt>
            <c:idx val="2"/>
            <c:bubble3D val="0"/>
            <c:spPr>
              <a:noFill/>
              <a:ln w="19050">
                <a:noFill/>
              </a:ln>
              <a:effectLst/>
            </c:spPr>
          </c:dPt>
          <c:cat>
            <c:strRef>
              <c:f>'Pivot Table'!$J$48:$L$48</c:f>
              <c:strCache>
                <c:ptCount val="3"/>
                <c:pt idx="0">
                  <c:v>Selected To Hired %</c:v>
                </c:pt>
                <c:pt idx="1">
                  <c:v>Remainder</c:v>
                </c:pt>
                <c:pt idx="2">
                  <c:v>Total</c:v>
                </c:pt>
              </c:strCache>
            </c:strRef>
          </c:cat>
          <c:val>
            <c:numRef>
              <c:f>'Pivot Table'!$J$49:$L$49</c:f>
              <c:numCache>
                <c:formatCode>0%</c:formatCode>
                <c:ptCount val="3"/>
                <c:pt idx="0">
                  <c:v>0.26666666666666666</c:v>
                </c:pt>
                <c:pt idx="1">
                  <c:v>0.73333333333333339</c:v>
                </c:pt>
                <c:pt idx="2">
                  <c:v>1</c:v>
                </c:pt>
              </c:numCache>
            </c:numRef>
          </c:val>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tx2">
                  <a:lumMod val="75000"/>
                </a:schemeClr>
              </a:solidFill>
              <a:ln w="19050">
                <a:solidFill>
                  <a:schemeClr val="lt1"/>
                </a:solidFill>
              </a:ln>
              <a:effectLst/>
            </c:spPr>
          </c:dPt>
          <c:dPt>
            <c:idx val="1"/>
            <c:bubble3D val="0"/>
            <c:spPr>
              <a:solidFill>
                <a:schemeClr val="bg2">
                  <a:lumMod val="90000"/>
                </a:schemeClr>
              </a:solidFill>
              <a:ln w="19050">
                <a:solidFill>
                  <a:schemeClr val="lt1"/>
                </a:solidFill>
              </a:ln>
              <a:effectLst/>
            </c:spPr>
          </c:dPt>
          <c:dPt>
            <c:idx val="2"/>
            <c:bubble3D val="0"/>
            <c:spPr>
              <a:noFill/>
              <a:ln w="19050">
                <a:noFill/>
              </a:ln>
              <a:effectLst/>
            </c:spPr>
          </c:dPt>
          <c:cat>
            <c:strRef>
              <c:f>'Pivot Table'!$J$13:$L$13</c:f>
              <c:strCache>
                <c:ptCount val="3"/>
                <c:pt idx="0">
                  <c:v>Shortlisted To Contacted</c:v>
                </c:pt>
                <c:pt idx="1">
                  <c:v>Remainder</c:v>
                </c:pt>
                <c:pt idx="2">
                  <c:v>Total</c:v>
                </c:pt>
              </c:strCache>
            </c:strRef>
          </c:cat>
          <c:val>
            <c:numRef>
              <c:f>'Pivot Table'!$J$14:$L$14</c:f>
              <c:numCache>
                <c:formatCode>0%</c:formatCode>
                <c:ptCount val="3"/>
                <c:pt idx="0">
                  <c:v>0.74792643346556076</c:v>
                </c:pt>
                <c:pt idx="1">
                  <c:v>0.25207356653443924</c:v>
                </c:pt>
                <c:pt idx="2">
                  <c:v>1</c:v>
                </c:pt>
              </c:numCache>
            </c:numRef>
          </c:val>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9.7944881889763774E-2"/>
          <c:y val="0.18055555555555552"/>
          <c:w val="0.81524934383202097"/>
          <c:h val="0.67880067074948969"/>
        </c:manualLayout>
      </c:layout>
      <c:barChart>
        <c:barDir val="col"/>
        <c:grouping val="clustered"/>
        <c:varyColors val="0"/>
        <c:ser>
          <c:idx val="0"/>
          <c:order val="0"/>
          <c:tx>
            <c:strRef>
              <c:f>'Pivot Table'!$F$3</c:f>
              <c:strCache>
                <c:ptCount val="1"/>
                <c:pt idx="0">
                  <c:v>Sum of Total Applications</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2"/>
              <c:layout>
                <c:manualLayout>
                  <c:x val="-1.1111111111111112E-2"/>
                  <c:y val="0.33123396033829094"/>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Table'!$E$4:$E$8</c:f>
              <c:strCache>
                <c:ptCount val="5"/>
                <c:pt idx="0">
                  <c:v>Alice Smith</c:v>
                </c:pt>
                <c:pt idx="1">
                  <c:v>John Doe</c:v>
                </c:pt>
                <c:pt idx="2">
                  <c:v>Maria Garcia</c:v>
                </c:pt>
                <c:pt idx="3">
                  <c:v>Nina Patel</c:v>
                </c:pt>
                <c:pt idx="4">
                  <c:v>Tom Lee</c:v>
                </c:pt>
              </c:strCache>
            </c:strRef>
          </c:cat>
          <c:val>
            <c:numRef>
              <c:f>'Pivot Table'!$F$4:$F$8</c:f>
              <c:numCache>
                <c:formatCode>General</c:formatCode>
                <c:ptCount val="5"/>
                <c:pt idx="0">
                  <c:v>712</c:v>
                </c:pt>
                <c:pt idx="1">
                  <c:v>707</c:v>
                </c:pt>
                <c:pt idx="2">
                  <c:v>844</c:v>
                </c:pt>
                <c:pt idx="3">
                  <c:v>521</c:v>
                </c:pt>
                <c:pt idx="4">
                  <c:v>921</c:v>
                </c:pt>
              </c:numCache>
            </c:numRef>
          </c:val>
        </c:ser>
        <c:ser>
          <c:idx val="1"/>
          <c:order val="1"/>
          <c:tx>
            <c:strRef>
              <c:f>'Pivot Table'!$G$3</c:f>
              <c:strCache>
                <c:ptCount val="1"/>
                <c:pt idx="0">
                  <c:v>Sum of Total Shortlisted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4"/>
              <c:layout>
                <c:manualLayout>
                  <c:x val="1.6666666666666666E-2"/>
                  <c:y val="0.22971092155147274"/>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Table'!$E$4:$E$8</c:f>
              <c:strCache>
                <c:ptCount val="5"/>
                <c:pt idx="0">
                  <c:v>Alice Smith</c:v>
                </c:pt>
                <c:pt idx="1">
                  <c:v>John Doe</c:v>
                </c:pt>
                <c:pt idx="2">
                  <c:v>Maria Garcia</c:v>
                </c:pt>
                <c:pt idx="3">
                  <c:v>Nina Patel</c:v>
                </c:pt>
                <c:pt idx="4">
                  <c:v>Tom Lee</c:v>
                </c:pt>
              </c:strCache>
            </c:strRef>
          </c:cat>
          <c:val>
            <c:numRef>
              <c:f>'Pivot Table'!$G$4:$G$8</c:f>
              <c:numCache>
                <c:formatCode>General</c:formatCode>
                <c:ptCount val="5"/>
                <c:pt idx="0">
                  <c:v>567</c:v>
                </c:pt>
                <c:pt idx="1">
                  <c:v>549</c:v>
                </c:pt>
                <c:pt idx="2">
                  <c:v>631</c:v>
                </c:pt>
                <c:pt idx="3">
                  <c:v>372</c:v>
                </c:pt>
                <c:pt idx="4">
                  <c:v>654</c:v>
                </c:pt>
              </c:numCache>
            </c:numRef>
          </c:val>
        </c:ser>
        <c:dLbls>
          <c:dLblPos val="ctr"/>
          <c:showLegendKey val="0"/>
          <c:showVal val="1"/>
          <c:showCatName val="0"/>
          <c:showSerName val="0"/>
          <c:showPercent val="0"/>
          <c:showBubbleSize val="0"/>
        </c:dLbls>
        <c:gapWidth val="219"/>
        <c:overlap val="-27"/>
        <c:axId val="264424320"/>
        <c:axId val="264429808"/>
      </c:barChart>
      <c:lineChart>
        <c:grouping val="standard"/>
        <c:varyColors val="0"/>
        <c:ser>
          <c:idx val="2"/>
          <c:order val="2"/>
          <c:tx>
            <c:strRef>
              <c:f>'Pivot Table'!$H$3</c:f>
              <c:strCache>
                <c:ptCount val="1"/>
                <c:pt idx="0">
                  <c:v>Total Application To Shorlisted</c:v>
                </c:pt>
              </c:strCache>
            </c:strRef>
          </c:tx>
          <c:spPr>
            <a:ln w="34925" cap="rnd">
              <a:solidFill>
                <a:schemeClr val="accent1">
                  <a:shade val="65000"/>
                </a:schemeClr>
              </a:solidFill>
              <a:round/>
            </a:ln>
            <a:effectLst>
              <a:outerShdw blurRad="57150" dist="19050" dir="5400000" algn="ctr" rotWithShape="0">
                <a:srgbClr val="000000">
                  <a:alpha val="63000"/>
                </a:srgbClr>
              </a:outerShdw>
            </a:effectLst>
          </c:spPr>
          <c:marker>
            <c:symbol val="none"/>
          </c:marker>
          <c:dLbls>
            <c:dLbl>
              <c:idx val="0"/>
              <c:layout>
                <c:manualLayout>
                  <c:x val="-3.1958442694663164E-2"/>
                  <c:y val="-2.777777777777782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7259157384597604E-2"/>
                  <c:y val="-5.5202875256338713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5473325943962786E-2"/>
                  <c:y val="-9.9360212732107614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3625109361329832E-2"/>
                  <c:y val="-6.018518518518518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7.3625109361329835E-2"/>
                  <c:y val="0"/>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Table'!$E$4:$E$8</c:f>
              <c:strCache>
                <c:ptCount val="5"/>
                <c:pt idx="0">
                  <c:v>Alice Smith</c:v>
                </c:pt>
                <c:pt idx="1">
                  <c:v>John Doe</c:v>
                </c:pt>
                <c:pt idx="2">
                  <c:v>Maria Garcia</c:v>
                </c:pt>
                <c:pt idx="3">
                  <c:v>Nina Patel</c:v>
                </c:pt>
                <c:pt idx="4">
                  <c:v>Tom Lee</c:v>
                </c:pt>
              </c:strCache>
            </c:strRef>
          </c:cat>
          <c:val>
            <c:numRef>
              <c:f>'Pivot Table'!$H$4:$H$8</c:f>
              <c:numCache>
                <c:formatCode>0%</c:formatCode>
                <c:ptCount val="5"/>
                <c:pt idx="0">
                  <c:v>0.7963483146067416</c:v>
                </c:pt>
                <c:pt idx="1">
                  <c:v>0.77652050919377658</c:v>
                </c:pt>
                <c:pt idx="2">
                  <c:v>0.74763033175355453</c:v>
                </c:pt>
                <c:pt idx="3">
                  <c:v>0.71401151631477922</c:v>
                </c:pt>
                <c:pt idx="4">
                  <c:v>0.71009771986970682</c:v>
                </c:pt>
              </c:numCache>
            </c:numRef>
          </c:val>
          <c:smooth val="0"/>
        </c:ser>
        <c:dLbls>
          <c:dLblPos val="ctr"/>
          <c:showLegendKey val="0"/>
          <c:showVal val="1"/>
          <c:showCatName val="0"/>
          <c:showSerName val="0"/>
          <c:showPercent val="0"/>
          <c:showBubbleSize val="0"/>
        </c:dLbls>
        <c:marker val="1"/>
        <c:smooth val="0"/>
        <c:axId val="264428240"/>
        <c:axId val="264425888"/>
      </c:lineChart>
      <c:catAx>
        <c:axId val="264424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j-lt"/>
                <a:ea typeface="+mn-ea"/>
                <a:cs typeface="+mn-cs"/>
              </a:defRPr>
            </a:pPr>
            <a:endParaRPr lang="en-US"/>
          </a:p>
        </c:txPr>
        <c:crossAx val="264429808"/>
        <c:crosses val="autoZero"/>
        <c:auto val="1"/>
        <c:lblAlgn val="ctr"/>
        <c:lblOffset val="100"/>
        <c:noMultiLvlLbl val="0"/>
      </c:catAx>
      <c:valAx>
        <c:axId val="264429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4424320"/>
        <c:crosses val="autoZero"/>
        <c:crossBetween val="between"/>
      </c:valAx>
      <c:valAx>
        <c:axId val="26442588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4428240"/>
        <c:crosses val="max"/>
        <c:crossBetween val="between"/>
      </c:valAx>
      <c:catAx>
        <c:axId val="264428240"/>
        <c:scaling>
          <c:orientation val="minMax"/>
        </c:scaling>
        <c:delete val="1"/>
        <c:axPos val="b"/>
        <c:numFmt formatCode="General" sourceLinked="1"/>
        <c:majorTickMark val="none"/>
        <c:minorTickMark val="none"/>
        <c:tickLblPos val="nextTo"/>
        <c:crossAx val="264425888"/>
        <c:crosses val="autoZero"/>
        <c:auto val="1"/>
        <c:lblAlgn val="ctr"/>
        <c:lblOffset val="100"/>
        <c:noMultiLvlLbl val="0"/>
      </c:catAx>
      <c:spPr>
        <a:noFill/>
        <a:ln>
          <a:noFill/>
        </a:ln>
        <a:effectLst/>
      </c:spPr>
    </c:plotArea>
    <c:legend>
      <c:legendPos val="b"/>
      <c:layout>
        <c:manualLayout>
          <c:xMode val="edge"/>
          <c:yMode val="edge"/>
          <c:x val="0"/>
          <c:y val="8.7658945544428037E-4"/>
          <c:w val="0.95432921483809052"/>
          <c:h val="0.14047260853329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j-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7.3128928455920034E-2"/>
          <c:y val="0.1728466374234712"/>
          <c:w val="0.83167585301837266"/>
          <c:h val="0.69909813356663753"/>
        </c:manualLayout>
      </c:layout>
      <c:barChart>
        <c:barDir val="col"/>
        <c:grouping val="clustered"/>
        <c:varyColors val="0"/>
        <c:ser>
          <c:idx val="0"/>
          <c:order val="0"/>
          <c:tx>
            <c:strRef>
              <c:f>'Pivot Table'!$E$13</c:f>
              <c:strCache>
                <c:ptCount val="1"/>
                <c:pt idx="0">
                  <c:v>Shortlisted</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Table'!$D$14:$D$18</c:f>
              <c:strCache>
                <c:ptCount val="5"/>
                <c:pt idx="0">
                  <c:v>Alice Smith</c:v>
                </c:pt>
                <c:pt idx="1">
                  <c:v>John Doe</c:v>
                </c:pt>
                <c:pt idx="2">
                  <c:v>Maria Garcia</c:v>
                </c:pt>
                <c:pt idx="3">
                  <c:v>Nina Patel</c:v>
                </c:pt>
                <c:pt idx="4">
                  <c:v>Tom Lee</c:v>
                </c:pt>
              </c:strCache>
            </c:strRef>
          </c:cat>
          <c:val>
            <c:numRef>
              <c:f>'Pivot Table'!$E$14:$E$18</c:f>
              <c:numCache>
                <c:formatCode>General</c:formatCode>
                <c:ptCount val="5"/>
                <c:pt idx="0">
                  <c:v>567</c:v>
                </c:pt>
                <c:pt idx="1">
                  <c:v>549</c:v>
                </c:pt>
                <c:pt idx="2">
                  <c:v>631</c:v>
                </c:pt>
                <c:pt idx="3">
                  <c:v>372</c:v>
                </c:pt>
                <c:pt idx="4">
                  <c:v>654</c:v>
                </c:pt>
              </c:numCache>
            </c:numRef>
          </c:val>
        </c:ser>
        <c:ser>
          <c:idx val="1"/>
          <c:order val="1"/>
          <c:tx>
            <c:strRef>
              <c:f>'Pivot Table'!$F$13</c:f>
              <c:strCache>
                <c:ptCount val="1"/>
                <c:pt idx="0">
                  <c:v>Contracted</c:v>
                </c:pt>
              </c:strCache>
            </c:strRef>
          </c:tx>
          <c:spPr>
            <a:solidFill>
              <a:schemeClr val="accent1"/>
            </a:solidFill>
            <a:ln>
              <a:noFill/>
            </a:ln>
            <a:effectLst/>
          </c:spPr>
          <c:invertIfNegative val="0"/>
          <c:dLbls>
            <c:dLbl>
              <c:idx val="0"/>
              <c:layout>
                <c:manualLayout>
                  <c:x val="3.013561262971661E-3"/>
                  <c:y val="0.21722260014230646"/>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0.24825440016263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291698920191097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
                  <c:y val="8.6889040056922578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3.0135612629715505E-3"/>
                  <c:y val="0.17998444011791107"/>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Table'!$D$14:$D$18</c:f>
              <c:strCache>
                <c:ptCount val="5"/>
                <c:pt idx="0">
                  <c:v>Alice Smith</c:v>
                </c:pt>
                <c:pt idx="1">
                  <c:v>John Doe</c:v>
                </c:pt>
                <c:pt idx="2">
                  <c:v>Maria Garcia</c:v>
                </c:pt>
                <c:pt idx="3">
                  <c:v>Nina Patel</c:v>
                </c:pt>
                <c:pt idx="4">
                  <c:v>Tom Lee</c:v>
                </c:pt>
              </c:strCache>
            </c:strRef>
          </c:cat>
          <c:val>
            <c:numRef>
              <c:f>'Pivot Table'!$F$14:$F$18</c:f>
              <c:numCache>
                <c:formatCode>General</c:formatCode>
                <c:ptCount val="5"/>
                <c:pt idx="0">
                  <c:v>377</c:v>
                </c:pt>
                <c:pt idx="1">
                  <c:v>400</c:v>
                </c:pt>
                <c:pt idx="2">
                  <c:v>505</c:v>
                </c:pt>
                <c:pt idx="3">
                  <c:v>282</c:v>
                </c:pt>
                <c:pt idx="4">
                  <c:v>510</c:v>
                </c:pt>
              </c:numCache>
            </c:numRef>
          </c:val>
        </c:ser>
        <c:dLbls>
          <c:showLegendKey val="0"/>
          <c:showVal val="0"/>
          <c:showCatName val="0"/>
          <c:showSerName val="0"/>
          <c:showPercent val="0"/>
          <c:showBubbleSize val="0"/>
        </c:dLbls>
        <c:gapWidth val="150"/>
        <c:axId val="264426280"/>
        <c:axId val="264427064"/>
      </c:barChart>
      <c:lineChart>
        <c:grouping val="standard"/>
        <c:varyColors val="0"/>
        <c:ser>
          <c:idx val="2"/>
          <c:order val="2"/>
          <c:tx>
            <c:strRef>
              <c:f>'Pivot Table'!$G$13</c:f>
              <c:strCache>
                <c:ptCount val="1"/>
                <c:pt idx="0">
                  <c:v>Shortlisted to Contracted</c:v>
                </c:pt>
              </c:strCache>
            </c:strRef>
          </c:tx>
          <c:spPr>
            <a:ln w="28575" cap="rnd">
              <a:solidFill>
                <a:schemeClr val="accent1">
                  <a:shade val="65000"/>
                </a:schemeClr>
              </a:solidFill>
              <a:round/>
            </a:ln>
            <a:effectLst/>
          </c:spPr>
          <c:marker>
            <c:symbol val="none"/>
          </c:marker>
          <c:dLbls>
            <c:dLbl>
              <c:idx val="0"/>
              <c:layout>
                <c:manualLayout>
                  <c:x val="0"/>
                  <c:y val="-4.9650880032527191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20542450518867E-2"/>
                  <c:y val="-4.9650880032527191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104959698500882E-16"/>
                  <c:y val="-5.5857240036593092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7122051366744948E-2"/>
                  <c:y val="-3.1031800020329493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
                  <c:y val="-3.1031800020329493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Table'!$D$14:$D$18</c:f>
              <c:strCache>
                <c:ptCount val="5"/>
                <c:pt idx="0">
                  <c:v>Alice Smith</c:v>
                </c:pt>
                <c:pt idx="1">
                  <c:v>John Doe</c:v>
                </c:pt>
                <c:pt idx="2">
                  <c:v>Maria Garcia</c:v>
                </c:pt>
                <c:pt idx="3">
                  <c:v>Nina Patel</c:v>
                </c:pt>
                <c:pt idx="4">
                  <c:v>Tom Lee</c:v>
                </c:pt>
              </c:strCache>
            </c:strRef>
          </c:cat>
          <c:val>
            <c:numRef>
              <c:f>'Pivot Table'!$G$14:$G$18</c:f>
              <c:numCache>
                <c:formatCode>0%</c:formatCode>
                <c:ptCount val="5"/>
                <c:pt idx="0">
                  <c:v>0.66490299823633159</c:v>
                </c:pt>
                <c:pt idx="1">
                  <c:v>0.72859744990892528</c:v>
                </c:pt>
                <c:pt idx="2">
                  <c:v>0.80031695721077656</c:v>
                </c:pt>
                <c:pt idx="3">
                  <c:v>0.75806451612903225</c:v>
                </c:pt>
                <c:pt idx="4">
                  <c:v>0.77981651376146788</c:v>
                </c:pt>
              </c:numCache>
            </c:numRef>
          </c:val>
          <c:smooth val="0"/>
        </c:ser>
        <c:dLbls>
          <c:showLegendKey val="0"/>
          <c:showVal val="0"/>
          <c:showCatName val="0"/>
          <c:showSerName val="0"/>
          <c:showPercent val="0"/>
          <c:showBubbleSize val="0"/>
        </c:dLbls>
        <c:marker val="1"/>
        <c:smooth val="0"/>
        <c:axId val="265245856"/>
        <c:axId val="265241152"/>
      </c:lineChart>
      <c:catAx>
        <c:axId val="264426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j-lt"/>
                <a:ea typeface="+mn-ea"/>
                <a:cs typeface="+mn-cs"/>
              </a:defRPr>
            </a:pPr>
            <a:endParaRPr lang="en-US"/>
          </a:p>
        </c:txPr>
        <c:crossAx val="264427064"/>
        <c:crosses val="autoZero"/>
        <c:auto val="1"/>
        <c:lblAlgn val="ctr"/>
        <c:lblOffset val="100"/>
        <c:noMultiLvlLbl val="0"/>
      </c:catAx>
      <c:valAx>
        <c:axId val="264427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4426280"/>
        <c:crosses val="autoZero"/>
        <c:crossBetween val="between"/>
      </c:valAx>
      <c:valAx>
        <c:axId val="26524115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245856"/>
        <c:crosses val="max"/>
        <c:crossBetween val="between"/>
      </c:valAx>
      <c:catAx>
        <c:axId val="265245856"/>
        <c:scaling>
          <c:orientation val="minMax"/>
        </c:scaling>
        <c:delete val="1"/>
        <c:axPos val="b"/>
        <c:numFmt formatCode="General" sourceLinked="1"/>
        <c:majorTickMark val="none"/>
        <c:minorTickMark val="none"/>
        <c:tickLblPos val="nextTo"/>
        <c:crossAx val="265241152"/>
        <c:crosses val="autoZero"/>
        <c:auto val="1"/>
        <c:lblAlgn val="ctr"/>
        <c:lblOffset val="100"/>
        <c:noMultiLvlLbl val="0"/>
      </c:catAx>
      <c:spPr>
        <a:noFill/>
        <a:ln>
          <a:noFill/>
        </a:ln>
        <a:effectLst/>
      </c:spPr>
    </c:plotArea>
    <c:legend>
      <c:legendPos val="b"/>
      <c:layout>
        <c:manualLayout>
          <c:xMode val="edge"/>
          <c:yMode val="edge"/>
          <c:x val="0"/>
          <c:y val="2.2543258817918107E-3"/>
          <c:w val="1"/>
          <c:h val="0.187124686261171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j-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[recruiting dashboard 2.xlsx]Pivot Table!PivotTable4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rgbClr val="00B050"/>
          </a:solidFill>
          <a:ln>
            <a:noFill/>
          </a:ln>
          <a:effectLst/>
        </c:spPr>
        <c:dLbl>
          <c:idx val="0"/>
          <c:layout>
            <c:manualLayout>
              <c:x val="0"/>
              <c:y val="1.73066551924904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4695754489099782E-2"/>
          <c:y val="8.1658700388923672E-2"/>
          <c:w val="0.7695252480583572"/>
          <c:h val="0.82284281584275232"/>
        </c:manualLayout>
      </c:layout>
      <c:barChart>
        <c:barDir val="col"/>
        <c:grouping val="clustered"/>
        <c:varyColors val="0"/>
        <c:ser>
          <c:idx val="0"/>
          <c:order val="0"/>
          <c:tx>
            <c:strRef>
              <c:f>'Pivot Table'!$B$21</c:f>
              <c:strCache>
                <c:ptCount val="1"/>
                <c:pt idx="0">
                  <c:v>Shortlisted</c:v>
                </c:pt>
              </c:strCache>
            </c:strRef>
          </c:tx>
          <c:spPr>
            <a:solidFill>
              <a:schemeClr val="accent1">
                <a:shade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Table'!$A$22:$A$26</c:f>
              <c:strCache>
                <c:ptCount val="5"/>
                <c:pt idx="0">
                  <c:v>Alice Smith</c:v>
                </c:pt>
                <c:pt idx="1">
                  <c:v>John Doe</c:v>
                </c:pt>
                <c:pt idx="2">
                  <c:v>Maria Garcia</c:v>
                </c:pt>
                <c:pt idx="3">
                  <c:v>Nina Patel</c:v>
                </c:pt>
                <c:pt idx="4">
                  <c:v>Tom Lee</c:v>
                </c:pt>
              </c:strCache>
            </c:strRef>
          </c:cat>
          <c:val>
            <c:numRef>
              <c:f>'Pivot Table'!$B$22:$B$26</c:f>
              <c:numCache>
                <c:formatCode>General</c:formatCode>
                <c:ptCount val="5"/>
                <c:pt idx="0">
                  <c:v>567</c:v>
                </c:pt>
                <c:pt idx="1">
                  <c:v>549</c:v>
                </c:pt>
                <c:pt idx="2">
                  <c:v>631</c:v>
                </c:pt>
                <c:pt idx="3">
                  <c:v>372</c:v>
                </c:pt>
                <c:pt idx="4">
                  <c:v>654</c:v>
                </c:pt>
              </c:numCache>
            </c:numRef>
          </c:val>
        </c:ser>
        <c:ser>
          <c:idx val="1"/>
          <c:order val="1"/>
          <c:tx>
            <c:strRef>
              <c:f>'Pivot Table'!$C$21</c:f>
              <c:strCache>
                <c:ptCount val="1"/>
                <c:pt idx="0">
                  <c:v>Sum of Total Contacted</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Table'!$A$22:$A$26</c:f>
              <c:strCache>
                <c:ptCount val="5"/>
                <c:pt idx="0">
                  <c:v>Alice Smith</c:v>
                </c:pt>
                <c:pt idx="1">
                  <c:v>John Doe</c:v>
                </c:pt>
                <c:pt idx="2">
                  <c:v>Maria Garcia</c:v>
                </c:pt>
                <c:pt idx="3">
                  <c:v>Nina Patel</c:v>
                </c:pt>
                <c:pt idx="4">
                  <c:v>Tom Lee</c:v>
                </c:pt>
              </c:strCache>
            </c:strRef>
          </c:cat>
          <c:val>
            <c:numRef>
              <c:f>'Pivot Table'!$C$22:$C$26</c:f>
              <c:numCache>
                <c:formatCode>General</c:formatCode>
                <c:ptCount val="5"/>
                <c:pt idx="0">
                  <c:v>377</c:v>
                </c:pt>
                <c:pt idx="1">
                  <c:v>400</c:v>
                </c:pt>
                <c:pt idx="2">
                  <c:v>505</c:v>
                </c:pt>
                <c:pt idx="3">
                  <c:v>282</c:v>
                </c:pt>
                <c:pt idx="4">
                  <c:v>510</c:v>
                </c:pt>
              </c:numCache>
            </c:numRef>
          </c:val>
        </c:ser>
        <c:ser>
          <c:idx val="2"/>
          <c:order val="2"/>
          <c:tx>
            <c:strRef>
              <c:f>'Pivot Table'!$D$21</c:f>
              <c:strCache>
                <c:ptCount val="1"/>
                <c:pt idx="0">
                  <c:v>Sum of Total Interviewed</c:v>
                </c:pt>
              </c:strCache>
            </c:strRef>
          </c:tx>
          <c:spPr>
            <a:solidFill>
              <a:srgbClr val="00B050"/>
            </a:solidFill>
            <a:ln>
              <a:noFill/>
            </a:ln>
            <a:effectLst/>
          </c:spPr>
          <c:invertIfNegative val="0"/>
          <c:dPt>
            <c:idx val="0"/>
            <c:invertIfNegative val="0"/>
            <c:bubble3D val="0"/>
            <c:spPr>
              <a:solidFill>
                <a:srgbClr val="00B050"/>
              </a:solidFill>
              <a:ln>
                <a:noFill/>
              </a:ln>
              <a:effectLst/>
            </c:spPr>
          </c:dPt>
          <c:dLbls>
            <c:dLbl>
              <c:idx val="0"/>
              <c:layout>
                <c:manualLayout>
                  <c:x val="0"/>
                  <c:y val="1.73066551924904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Table'!$A$22:$A$26</c:f>
              <c:strCache>
                <c:ptCount val="5"/>
                <c:pt idx="0">
                  <c:v>Alice Smith</c:v>
                </c:pt>
                <c:pt idx="1">
                  <c:v>John Doe</c:v>
                </c:pt>
                <c:pt idx="2">
                  <c:v>Maria Garcia</c:v>
                </c:pt>
                <c:pt idx="3">
                  <c:v>Nina Patel</c:v>
                </c:pt>
                <c:pt idx="4">
                  <c:v>Tom Lee</c:v>
                </c:pt>
              </c:strCache>
            </c:strRef>
          </c:cat>
          <c:val>
            <c:numRef>
              <c:f>'Pivot Table'!$D$22:$D$26</c:f>
              <c:numCache>
                <c:formatCode>General</c:formatCode>
                <c:ptCount val="5"/>
                <c:pt idx="0">
                  <c:v>331</c:v>
                </c:pt>
                <c:pt idx="1">
                  <c:v>316</c:v>
                </c:pt>
                <c:pt idx="2">
                  <c:v>365</c:v>
                </c:pt>
                <c:pt idx="3">
                  <c:v>216</c:v>
                </c:pt>
                <c:pt idx="4">
                  <c:v>392</c:v>
                </c:pt>
              </c:numCache>
            </c:numRef>
          </c:val>
        </c:ser>
        <c:ser>
          <c:idx val="3"/>
          <c:order val="3"/>
          <c:tx>
            <c:strRef>
              <c:f>'Pivot Table'!$E$21</c:f>
              <c:strCache>
                <c:ptCount val="1"/>
                <c:pt idx="0">
                  <c:v>Sum of Total Selected</c:v>
                </c:pt>
              </c:strCache>
            </c:strRef>
          </c:tx>
          <c:spPr>
            <a:solidFill>
              <a:schemeClr val="accent1">
                <a:tint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Table'!$A$22:$A$26</c:f>
              <c:strCache>
                <c:ptCount val="5"/>
                <c:pt idx="0">
                  <c:v>Alice Smith</c:v>
                </c:pt>
                <c:pt idx="1">
                  <c:v>John Doe</c:v>
                </c:pt>
                <c:pt idx="2">
                  <c:v>Maria Garcia</c:v>
                </c:pt>
                <c:pt idx="3">
                  <c:v>Nina Patel</c:v>
                </c:pt>
                <c:pt idx="4">
                  <c:v>Tom Lee</c:v>
                </c:pt>
              </c:strCache>
            </c:strRef>
          </c:cat>
          <c:val>
            <c:numRef>
              <c:f>'Pivot Table'!$E$22:$E$26</c:f>
              <c:numCache>
                <c:formatCode>General</c:formatCode>
                <c:ptCount val="5"/>
                <c:pt idx="0">
                  <c:v>109</c:v>
                </c:pt>
                <c:pt idx="1">
                  <c:v>138</c:v>
                </c:pt>
                <c:pt idx="2">
                  <c:v>154</c:v>
                </c:pt>
                <c:pt idx="3">
                  <c:v>87</c:v>
                </c:pt>
                <c:pt idx="4">
                  <c:v>157</c:v>
                </c:pt>
              </c:numCache>
            </c:numRef>
          </c:val>
        </c:ser>
        <c:ser>
          <c:idx val="4"/>
          <c:order val="4"/>
          <c:tx>
            <c:strRef>
              <c:f>'Pivot Table'!$F$21</c:f>
              <c:strCache>
                <c:ptCount val="1"/>
                <c:pt idx="0">
                  <c:v>Sum of Total Rejected</c:v>
                </c:pt>
              </c:strCache>
            </c:strRef>
          </c:tx>
          <c:spPr>
            <a:solidFill>
              <a:schemeClr val="accent1">
                <a:tint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Table'!$A$22:$A$26</c:f>
              <c:strCache>
                <c:ptCount val="5"/>
                <c:pt idx="0">
                  <c:v>Alice Smith</c:v>
                </c:pt>
                <c:pt idx="1">
                  <c:v>John Doe</c:v>
                </c:pt>
                <c:pt idx="2">
                  <c:v>Maria Garcia</c:v>
                </c:pt>
                <c:pt idx="3">
                  <c:v>Nina Patel</c:v>
                </c:pt>
                <c:pt idx="4">
                  <c:v>Tom Lee</c:v>
                </c:pt>
              </c:strCache>
            </c:strRef>
          </c:cat>
          <c:val>
            <c:numRef>
              <c:f>'Pivot Table'!$F$22:$F$26</c:f>
              <c:numCache>
                <c:formatCode>General</c:formatCode>
                <c:ptCount val="5"/>
                <c:pt idx="0">
                  <c:v>217</c:v>
                </c:pt>
                <c:pt idx="1">
                  <c:v>218</c:v>
                </c:pt>
                <c:pt idx="2">
                  <c:v>259</c:v>
                </c:pt>
                <c:pt idx="3">
                  <c:v>138</c:v>
                </c:pt>
                <c:pt idx="4">
                  <c:v>247</c:v>
                </c:pt>
              </c:numCache>
            </c:numRef>
          </c:val>
        </c:ser>
        <c:ser>
          <c:idx val="5"/>
          <c:order val="5"/>
          <c:tx>
            <c:strRef>
              <c:f>'Pivot Table'!$G$21</c:f>
              <c:strCache>
                <c:ptCount val="1"/>
                <c:pt idx="0">
                  <c:v>Sum of Total Hired</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Table'!$A$22:$A$26</c:f>
              <c:strCache>
                <c:ptCount val="5"/>
                <c:pt idx="0">
                  <c:v>Alice Smith</c:v>
                </c:pt>
                <c:pt idx="1">
                  <c:v>John Doe</c:v>
                </c:pt>
                <c:pt idx="2">
                  <c:v>Maria Garcia</c:v>
                </c:pt>
                <c:pt idx="3">
                  <c:v>Nina Patel</c:v>
                </c:pt>
                <c:pt idx="4">
                  <c:v>Tom Lee</c:v>
                </c:pt>
              </c:strCache>
            </c:strRef>
          </c:cat>
          <c:val>
            <c:numRef>
              <c:f>'Pivot Table'!$G$22:$G$26</c:f>
              <c:numCache>
                <c:formatCode>General</c:formatCode>
                <c:ptCount val="5"/>
                <c:pt idx="0">
                  <c:v>40</c:v>
                </c:pt>
                <c:pt idx="1">
                  <c:v>33</c:v>
                </c:pt>
                <c:pt idx="2">
                  <c:v>36</c:v>
                </c:pt>
                <c:pt idx="3">
                  <c:v>17</c:v>
                </c:pt>
                <c:pt idx="4">
                  <c:v>46</c:v>
                </c:pt>
              </c:numCache>
            </c:numRef>
          </c:val>
        </c:ser>
        <c:dLbls>
          <c:dLblPos val="outEnd"/>
          <c:showLegendKey val="0"/>
          <c:showVal val="1"/>
          <c:showCatName val="0"/>
          <c:showSerName val="0"/>
          <c:showPercent val="0"/>
          <c:showBubbleSize val="0"/>
        </c:dLbls>
        <c:gapWidth val="219"/>
        <c:axId val="265240368"/>
        <c:axId val="265242720"/>
      </c:barChart>
      <c:catAx>
        <c:axId val="26524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j-lt"/>
                <a:ea typeface="+mn-ea"/>
                <a:cs typeface="+mn-cs"/>
              </a:defRPr>
            </a:pPr>
            <a:endParaRPr lang="en-US"/>
          </a:p>
        </c:txPr>
        <c:crossAx val="265242720"/>
        <c:crosses val="autoZero"/>
        <c:auto val="1"/>
        <c:lblAlgn val="ctr"/>
        <c:lblOffset val="100"/>
        <c:noMultiLvlLbl val="0"/>
      </c:catAx>
      <c:valAx>
        <c:axId val="265242720"/>
        <c:scaling>
          <c:orientation val="minMax"/>
        </c:scaling>
        <c:delete val="1"/>
        <c:axPos val="l"/>
        <c:numFmt formatCode="General" sourceLinked="1"/>
        <c:majorTickMark val="none"/>
        <c:minorTickMark val="none"/>
        <c:tickLblPos val="nextTo"/>
        <c:crossAx val="265240368"/>
        <c:crosses val="autoZero"/>
        <c:crossBetween val="between"/>
      </c:valAx>
      <c:spPr>
        <a:noFill/>
        <a:ln>
          <a:noFill/>
        </a:ln>
        <a:effectLst/>
      </c:spPr>
    </c:plotArea>
    <c:legend>
      <c:legendPos val="r"/>
      <c:layout>
        <c:manualLayout>
          <c:xMode val="edge"/>
          <c:yMode val="edge"/>
          <c:x val="0.77698276488856399"/>
          <c:y val="0.11153201276719713"/>
          <c:w val="0.1775807273072256"/>
          <c:h val="0.5487670848977607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j-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9.301214094048299E-2"/>
          <c:y val="0.10559667496897199"/>
          <c:w val="0.81524934383202097"/>
          <c:h val="0.74569663167104117"/>
        </c:manualLayout>
      </c:layout>
      <c:barChart>
        <c:barDir val="col"/>
        <c:grouping val="clustered"/>
        <c:varyColors val="0"/>
        <c:ser>
          <c:idx val="0"/>
          <c:order val="0"/>
          <c:tx>
            <c:strRef>
              <c:f>'Pivot Table'!$E$28</c:f>
              <c:strCache>
                <c:ptCount val="1"/>
                <c:pt idx="0">
                  <c:v>Contacted</c:v>
                </c:pt>
              </c:strCache>
            </c:strRef>
          </c:tx>
          <c:spPr>
            <a:solidFill>
              <a:schemeClr val="accent1">
                <a:tint val="65000"/>
              </a:schemeClr>
            </a:solidFill>
            <a:ln>
              <a:noFill/>
            </a:ln>
            <a:effectLst/>
          </c:spPr>
          <c:invertIfNegative val="0"/>
          <c:dLbls>
            <c:dLbl>
              <c:idx val="0"/>
              <c:layout>
                <c:manualLayout>
                  <c:x val="-5.3452123311944063E-3"/>
                  <c:y val="0.2349206349206349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2.6726061655972522E-3"/>
                  <c:y val="0.285714285714285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4.8997213682621834E-17"/>
                  <c:y val="0.2539682539682539"/>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
                  <c:y val="0.27936507936507937"/>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Table'!$D$29:$D$33</c:f>
              <c:strCache>
                <c:ptCount val="5"/>
                <c:pt idx="0">
                  <c:v>Alice Smith</c:v>
                </c:pt>
                <c:pt idx="1">
                  <c:v>John Doe</c:v>
                </c:pt>
                <c:pt idx="2">
                  <c:v>Maria Garcia</c:v>
                </c:pt>
                <c:pt idx="3">
                  <c:v>Nina Patel</c:v>
                </c:pt>
                <c:pt idx="4">
                  <c:v>Tom Lee</c:v>
                </c:pt>
              </c:strCache>
            </c:strRef>
          </c:cat>
          <c:val>
            <c:numRef>
              <c:f>'Pivot Table'!$E$29:$E$33</c:f>
              <c:numCache>
                <c:formatCode>General</c:formatCode>
                <c:ptCount val="5"/>
                <c:pt idx="0">
                  <c:v>377</c:v>
                </c:pt>
                <c:pt idx="1">
                  <c:v>400</c:v>
                </c:pt>
                <c:pt idx="2">
                  <c:v>505</c:v>
                </c:pt>
                <c:pt idx="3">
                  <c:v>282</c:v>
                </c:pt>
                <c:pt idx="4">
                  <c:v>510</c:v>
                </c:pt>
              </c:numCache>
            </c:numRef>
          </c:val>
        </c:ser>
        <c:ser>
          <c:idx val="1"/>
          <c:order val="1"/>
          <c:tx>
            <c:strRef>
              <c:f>'Pivot Table'!$F$28</c:f>
              <c:strCache>
                <c:ptCount val="1"/>
                <c:pt idx="0">
                  <c:v>Interviewed</c:v>
                </c:pt>
              </c:strCache>
            </c:strRef>
          </c:tx>
          <c:spPr>
            <a:solidFill>
              <a:schemeClr val="accent1"/>
            </a:solidFill>
            <a:ln>
              <a:noFill/>
            </a:ln>
            <a:effectLst/>
          </c:spPr>
          <c:invertIfNegative val="0"/>
          <c:dLbls>
            <c:dLbl>
              <c:idx val="2"/>
              <c:layout>
                <c:manualLayout>
                  <c:x val="2.6726061655972032E-3"/>
                  <c:y val="0.20952380952380953"/>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9.7994427365243669E-17"/>
                  <c:y val="0.27936507936507926"/>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Table'!$D$29:$D$33</c:f>
              <c:strCache>
                <c:ptCount val="5"/>
                <c:pt idx="0">
                  <c:v>Alice Smith</c:v>
                </c:pt>
                <c:pt idx="1">
                  <c:v>John Doe</c:v>
                </c:pt>
                <c:pt idx="2">
                  <c:v>Maria Garcia</c:v>
                </c:pt>
                <c:pt idx="3">
                  <c:v>Nina Patel</c:v>
                </c:pt>
                <c:pt idx="4">
                  <c:v>Tom Lee</c:v>
                </c:pt>
              </c:strCache>
            </c:strRef>
          </c:cat>
          <c:val>
            <c:numRef>
              <c:f>'Pivot Table'!$F$29:$F$33</c:f>
              <c:numCache>
                <c:formatCode>General</c:formatCode>
                <c:ptCount val="5"/>
                <c:pt idx="0">
                  <c:v>331</c:v>
                </c:pt>
                <c:pt idx="1">
                  <c:v>316</c:v>
                </c:pt>
                <c:pt idx="2">
                  <c:v>365</c:v>
                </c:pt>
                <c:pt idx="3">
                  <c:v>216</c:v>
                </c:pt>
                <c:pt idx="4">
                  <c:v>392</c:v>
                </c:pt>
              </c:numCache>
            </c:numRef>
          </c:val>
        </c:ser>
        <c:dLbls>
          <c:showLegendKey val="0"/>
          <c:showVal val="1"/>
          <c:showCatName val="0"/>
          <c:showSerName val="0"/>
          <c:showPercent val="0"/>
          <c:showBubbleSize val="0"/>
        </c:dLbls>
        <c:gapWidth val="150"/>
        <c:axId val="265241544"/>
        <c:axId val="265241936"/>
      </c:barChart>
      <c:lineChart>
        <c:grouping val="standard"/>
        <c:varyColors val="0"/>
        <c:ser>
          <c:idx val="2"/>
          <c:order val="2"/>
          <c:tx>
            <c:strRef>
              <c:f>'Pivot Table'!$G$28</c:f>
              <c:strCache>
                <c:ptCount val="1"/>
                <c:pt idx="0">
                  <c:v>Contacted To Interviewed</c:v>
                </c:pt>
              </c:strCache>
            </c:strRef>
          </c:tx>
          <c:spPr>
            <a:ln w="28575" cap="rnd">
              <a:solidFill>
                <a:schemeClr val="accent1">
                  <a:shade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Table'!$D$29:$D$33</c:f>
              <c:strCache>
                <c:ptCount val="5"/>
                <c:pt idx="0">
                  <c:v>Alice Smith</c:v>
                </c:pt>
                <c:pt idx="1">
                  <c:v>John Doe</c:v>
                </c:pt>
                <c:pt idx="2">
                  <c:v>Maria Garcia</c:v>
                </c:pt>
                <c:pt idx="3">
                  <c:v>Nina Patel</c:v>
                </c:pt>
                <c:pt idx="4">
                  <c:v>Tom Lee</c:v>
                </c:pt>
              </c:strCache>
            </c:strRef>
          </c:cat>
          <c:val>
            <c:numRef>
              <c:f>'Pivot Table'!$G$29:$G$33</c:f>
              <c:numCache>
                <c:formatCode>0%</c:formatCode>
                <c:ptCount val="5"/>
                <c:pt idx="0">
                  <c:v>0.87798408488063662</c:v>
                </c:pt>
                <c:pt idx="1">
                  <c:v>0.79</c:v>
                </c:pt>
                <c:pt idx="2">
                  <c:v>0.72277227722772275</c:v>
                </c:pt>
                <c:pt idx="3">
                  <c:v>0.76595744680851063</c:v>
                </c:pt>
                <c:pt idx="4">
                  <c:v>0.7686274509803922</c:v>
                </c:pt>
              </c:numCache>
            </c:numRef>
          </c:val>
          <c:smooth val="0"/>
        </c:ser>
        <c:dLbls>
          <c:showLegendKey val="0"/>
          <c:showVal val="1"/>
          <c:showCatName val="0"/>
          <c:showSerName val="0"/>
          <c:showPercent val="0"/>
          <c:showBubbleSize val="0"/>
        </c:dLbls>
        <c:marker val="1"/>
        <c:smooth val="0"/>
        <c:axId val="265247816"/>
        <c:axId val="265246640"/>
      </c:lineChart>
      <c:catAx>
        <c:axId val="26524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241936"/>
        <c:crosses val="autoZero"/>
        <c:auto val="1"/>
        <c:lblAlgn val="ctr"/>
        <c:lblOffset val="100"/>
        <c:noMultiLvlLbl val="0"/>
      </c:catAx>
      <c:valAx>
        <c:axId val="265241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241544"/>
        <c:crosses val="autoZero"/>
        <c:crossBetween val="between"/>
      </c:valAx>
      <c:valAx>
        <c:axId val="26524664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247816"/>
        <c:crosses val="max"/>
        <c:crossBetween val="between"/>
      </c:valAx>
      <c:catAx>
        <c:axId val="265247816"/>
        <c:scaling>
          <c:orientation val="minMax"/>
        </c:scaling>
        <c:delete val="1"/>
        <c:axPos val="b"/>
        <c:numFmt formatCode="General" sourceLinked="1"/>
        <c:majorTickMark val="none"/>
        <c:minorTickMark val="none"/>
        <c:tickLblPos val="nextTo"/>
        <c:crossAx val="265246640"/>
        <c:crosses val="autoZero"/>
        <c:auto val="1"/>
        <c:lblAlgn val="ctr"/>
        <c:lblOffset val="100"/>
        <c:noMultiLvlLbl val="0"/>
      </c:catAx>
      <c:spPr>
        <a:noFill/>
        <a:ln>
          <a:noFill/>
        </a:ln>
        <a:effectLst/>
      </c:spPr>
    </c:plotArea>
    <c:legend>
      <c:legendPos val="b"/>
      <c:layout>
        <c:manualLayout>
          <c:xMode val="edge"/>
          <c:yMode val="edge"/>
          <c:x val="6.9425853018372702E-2"/>
          <c:y val="2.368936860428186E-3"/>
          <c:w val="0.8719862204724409"/>
          <c:h val="7.384040536599591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j-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9.1894923390986399E-2"/>
          <c:y val="0.16460905349794239"/>
          <c:w val="0.82477151894474732"/>
          <c:h val="0.69860341531382653"/>
        </c:manualLayout>
      </c:layout>
      <c:barChart>
        <c:barDir val="col"/>
        <c:grouping val="clustered"/>
        <c:varyColors val="0"/>
        <c:ser>
          <c:idx val="0"/>
          <c:order val="0"/>
          <c:tx>
            <c:strRef>
              <c:f>'Pivot Table'!$E$34</c:f>
              <c:strCache>
                <c:ptCount val="1"/>
                <c:pt idx="0">
                  <c:v>Interviewed</c:v>
                </c:pt>
              </c:strCache>
            </c:strRef>
          </c:tx>
          <c:spPr>
            <a:solidFill>
              <a:schemeClr val="accent1">
                <a:tint val="65000"/>
              </a:schemeClr>
            </a:solidFill>
            <a:ln>
              <a:noFill/>
            </a:ln>
            <a:effectLst/>
          </c:spPr>
          <c:invertIfNegative val="0"/>
          <c:dLbls>
            <c:dLbl>
              <c:idx val="0"/>
              <c:layout>
                <c:manualLayout>
                  <c:x val="-2.629662022827947E-17"/>
                  <c:y val="7.2928189485916298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0.1325967081562113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9.944753111715859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0518648091311788E-16"/>
                  <c:y val="0.13259670815621138"/>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Table'!$D$35:$D$39</c:f>
              <c:strCache>
                <c:ptCount val="5"/>
                <c:pt idx="0">
                  <c:v>Alice Smith</c:v>
                </c:pt>
                <c:pt idx="1">
                  <c:v>John Doe</c:v>
                </c:pt>
                <c:pt idx="2">
                  <c:v>Maria Garcia</c:v>
                </c:pt>
                <c:pt idx="3">
                  <c:v>Nina Patel</c:v>
                </c:pt>
                <c:pt idx="4">
                  <c:v>Tom Lee</c:v>
                </c:pt>
              </c:strCache>
            </c:strRef>
          </c:cat>
          <c:val>
            <c:numRef>
              <c:f>'Pivot Table'!$E$35:$E$39</c:f>
              <c:numCache>
                <c:formatCode>General</c:formatCode>
                <c:ptCount val="5"/>
                <c:pt idx="0">
                  <c:v>331</c:v>
                </c:pt>
                <c:pt idx="1">
                  <c:v>316</c:v>
                </c:pt>
                <c:pt idx="2">
                  <c:v>365</c:v>
                </c:pt>
                <c:pt idx="3">
                  <c:v>216</c:v>
                </c:pt>
                <c:pt idx="4">
                  <c:v>392</c:v>
                </c:pt>
              </c:numCache>
            </c:numRef>
          </c:val>
        </c:ser>
        <c:ser>
          <c:idx val="1"/>
          <c:order val="1"/>
          <c:tx>
            <c:strRef>
              <c:f>'Pivot Table'!$F$34</c:f>
              <c:strCache>
                <c:ptCount val="1"/>
                <c:pt idx="0">
                  <c:v>Selected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Table'!$D$35:$D$39</c:f>
              <c:strCache>
                <c:ptCount val="5"/>
                <c:pt idx="0">
                  <c:v>Alice Smith</c:v>
                </c:pt>
                <c:pt idx="1">
                  <c:v>John Doe</c:v>
                </c:pt>
                <c:pt idx="2">
                  <c:v>Maria Garcia</c:v>
                </c:pt>
                <c:pt idx="3">
                  <c:v>Nina Patel</c:v>
                </c:pt>
                <c:pt idx="4">
                  <c:v>Tom Lee</c:v>
                </c:pt>
              </c:strCache>
            </c:strRef>
          </c:cat>
          <c:val>
            <c:numRef>
              <c:f>'Pivot Table'!$F$35:$F$39</c:f>
              <c:numCache>
                <c:formatCode>General</c:formatCode>
                <c:ptCount val="5"/>
                <c:pt idx="0">
                  <c:v>109</c:v>
                </c:pt>
                <c:pt idx="1">
                  <c:v>138</c:v>
                </c:pt>
                <c:pt idx="2">
                  <c:v>154</c:v>
                </c:pt>
                <c:pt idx="3">
                  <c:v>87</c:v>
                </c:pt>
                <c:pt idx="4">
                  <c:v>157</c:v>
                </c:pt>
              </c:numCache>
            </c:numRef>
          </c:val>
        </c:ser>
        <c:dLbls>
          <c:showLegendKey val="0"/>
          <c:showVal val="1"/>
          <c:showCatName val="0"/>
          <c:showSerName val="0"/>
          <c:showPercent val="0"/>
          <c:showBubbleSize val="0"/>
        </c:dLbls>
        <c:gapWidth val="150"/>
        <c:axId val="265247032"/>
        <c:axId val="265245464"/>
      </c:barChart>
      <c:lineChart>
        <c:grouping val="standard"/>
        <c:varyColors val="0"/>
        <c:ser>
          <c:idx val="2"/>
          <c:order val="2"/>
          <c:tx>
            <c:strRef>
              <c:f>'Pivot Table'!$G$34</c:f>
              <c:strCache>
                <c:ptCount val="1"/>
                <c:pt idx="0">
                  <c:v>Interviewed to selected</c:v>
                </c:pt>
              </c:strCache>
            </c:strRef>
          </c:tx>
          <c:spPr>
            <a:ln w="28575" cap="rnd">
              <a:solidFill>
                <a:schemeClr val="accent1">
                  <a:shade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Table'!$D$35:$D$39</c:f>
              <c:strCache>
                <c:ptCount val="5"/>
                <c:pt idx="0">
                  <c:v>Alice Smith</c:v>
                </c:pt>
                <c:pt idx="1">
                  <c:v>John Doe</c:v>
                </c:pt>
                <c:pt idx="2">
                  <c:v>Maria Garcia</c:v>
                </c:pt>
                <c:pt idx="3">
                  <c:v>Nina Patel</c:v>
                </c:pt>
                <c:pt idx="4">
                  <c:v>Tom Lee</c:v>
                </c:pt>
              </c:strCache>
            </c:strRef>
          </c:cat>
          <c:val>
            <c:numRef>
              <c:f>'Pivot Table'!$G$35:$G$39</c:f>
              <c:numCache>
                <c:formatCode>0%</c:formatCode>
                <c:ptCount val="5"/>
                <c:pt idx="0">
                  <c:v>0.32930513595166161</c:v>
                </c:pt>
                <c:pt idx="1">
                  <c:v>0.43670886075949367</c:v>
                </c:pt>
                <c:pt idx="2">
                  <c:v>0.42191780821917807</c:v>
                </c:pt>
                <c:pt idx="3">
                  <c:v>0.40277777777777779</c:v>
                </c:pt>
                <c:pt idx="4">
                  <c:v>0.40051020408163263</c:v>
                </c:pt>
              </c:numCache>
            </c:numRef>
          </c:val>
          <c:smooth val="0"/>
        </c:ser>
        <c:dLbls>
          <c:showLegendKey val="0"/>
          <c:showVal val="1"/>
          <c:showCatName val="0"/>
          <c:showSerName val="0"/>
          <c:showPercent val="0"/>
          <c:showBubbleSize val="0"/>
        </c:dLbls>
        <c:marker val="1"/>
        <c:smooth val="0"/>
        <c:axId val="265247424"/>
        <c:axId val="265243112"/>
      </c:lineChart>
      <c:catAx>
        <c:axId val="265247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j-lt"/>
                <a:ea typeface="+mn-ea"/>
                <a:cs typeface="+mn-cs"/>
              </a:defRPr>
            </a:pPr>
            <a:endParaRPr lang="en-US"/>
          </a:p>
        </c:txPr>
        <c:crossAx val="265245464"/>
        <c:crosses val="autoZero"/>
        <c:auto val="1"/>
        <c:lblAlgn val="ctr"/>
        <c:lblOffset val="100"/>
        <c:noMultiLvlLbl val="0"/>
      </c:catAx>
      <c:valAx>
        <c:axId val="265245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j-lt"/>
                <a:ea typeface="+mn-ea"/>
                <a:cs typeface="+mn-cs"/>
              </a:defRPr>
            </a:pPr>
            <a:endParaRPr lang="en-US"/>
          </a:p>
        </c:txPr>
        <c:crossAx val="265247032"/>
        <c:crosses val="autoZero"/>
        <c:crossBetween val="between"/>
      </c:valAx>
      <c:valAx>
        <c:axId val="26524311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j-lt"/>
                <a:ea typeface="+mn-ea"/>
                <a:cs typeface="+mn-cs"/>
              </a:defRPr>
            </a:pPr>
            <a:endParaRPr lang="en-US"/>
          </a:p>
        </c:txPr>
        <c:crossAx val="265247424"/>
        <c:crosses val="max"/>
        <c:crossBetween val="between"/>
      </c:valAx>
      <c:catAx>
        <c:axId val="265247424"/>
        <c:scaling>
          <c:orientation val="minMax"/>
        </c:scaling>
        <c:delete val="1"/>
        <c:axPos val="b"/>
        <c:numFmt formatCode="General" sourceLinked="1"/>
        <c:majorTickMark val="none"/>
        <c:minorTickMark val="none"/>
        <c:tickLblPos val="nextTo"/>
        <c:crossAx val="265243112"/>
        <c:crosses val="autoZero"/>
        <c:auto val="1"/>
        <c:lblAlgn val="ctr"/>
        <c:lblOffset val="100"/>
        <c:noMultiLvlLbl val="0"/>
      </c:catAx>
      <c:spPr>
        <a:noFill/>
        <a:ln>
          <a:noFill/>
        </a:ln>
        <a:effectLst/>
      </c:spPr>
    </c:plotArea>
    <c:legend>
      <c:legendPos val="b"/>
      <c:layout>
        <c:manualLayout>
          <c:xMode val="edge"/>
          <c:yMode val="edge"/>
          <c:x val="4.1174997012654382E-2"/>
          <c:y val="0"/>
          <c:w val="0.95012059650586145"/>
          <c:h val="0.207681640746149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j-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8.1264216972878389E-2"/>
          <c:y val="0.14814814814814814"/>
          <c:w val="0.82915223097112856"/>
          <c:h val="0.74569663167104117"/>
        </c:manualLayout>
      </c:layout>
      <c:barChart>
        <c:barDir val="col"/>
        <c:grouping val="clustered"/>
        <c:varyColors val="0"/>
        <c:ser>
          <c:idx val="0"/>
          <c:order val="0"/>
          <c:tx>
            <c:strRef>
              <c:f>'Pivot Table'!$E$41</c:f>
              <c:strCache>
                <c:ptCount val="1"/>
                <c:pt idx="0">
                  <c:v>Interviewed</c:v>
                </c:pt>
              </c:strCache>
            </c:strRef>
          </c:tx>
          <c:spPr>
            <a:solidFill>
              <a:schemeClr val="accent1">
                <a:tint val="65000"/>
              </a:schemeClr>
            </a:solidFill>
            <a:ln>
              <a:noFill/>
            </a:ln>
            <a:effectLst/>
          </c:spPr>
          <c:invertIfNegative val="0"/>
          <c:dLbls>
            <c:dLbl>
              <c:idx val="0"/>
              <c:layout>
                <c:manualLayout>
                  <c:x val="0"/>
                  <c:y val="8.4006462035541199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2.8894783626987001E-3"/>
                  <c:y val="6.4620355411954711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889478362698753E-3"/>
                  <c:y val="9.6930533117932149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
                  <c:y val="7.7544426494345717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0594631606473507E-16"/>
                  <c:y val="0.1227786752827140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Table'!$D$42:$D$46</c:f>
              <c:strCache>
                <c:ptCount val="5"/>
                <c:pt idx="0">
                  <c:v>Alice Smith</c:v>
                </c:pt>
                <c:pt idx="1">
                  <c:v>John Doe</c:v>
                </c:pt>
                <c:pt idx="2">
                  <c:v>Maria Garcia</c:v>
                </c:pt>
                <c:pt idx="3">
                  <c:v>Nina Patel</c:v>
                </c:pt>
                <c:pt idx="4">
                  <c:v>Tom Lee</c:v>
                </c:pt>
              </c:strCache>
            </c:strRef>
          </c:cat>
          <c:val>
            <c:numRef>
              <c:f>'Pivot Table'!$E$42:$E$46</c:f>
              <c:numCache>
                <c:formatCode>General</c:formatCode>
                <c:ptCount val="5"/>
                <c:pt idx="0">
                  <c:v>331</c:v>
                </c:pt>
                <c:pt idx="1">
                  <c:v>316</c:v>
                </c:pt>
                <c:pt idx="2">
                  <c:v>365</c:v>
                </c:pt>
                <c:pt idx="3">
                  <c:v>216</c:v>
                </c:pt>
                <c:pt idx="4">
                  <c:v>392</c:v>
                </c:pt>
              </c:numCache>
            </c:numRef>
          </c:val>
        </c:ser>
        <c:ser>
          <c:idx val="1"/>
          <c:order val="1"/>
          <c:tx>
            <c:strRef>
              <c:f>'Pivot Table'!$F$41</c:f>
              <c:strCache>
                <c:ptCount val="1"/>
                <c:pt idx="0">
                  <c:v>Rejected</c:v>
                </c:pt>
              </c:strCache>
            </c:strRef>
          </c:tx>
          <c:spPr>
            <a:solidFill>
              <a:schemeClr val="accent1"/>
            </a:solidFill>
            <a:ln>
              <a:noFill/>
            </a:ln>
            <a:effectLst/>
          </c:spPr>
          <c:invertIfNegative val="0"/>
          <c:dLbls>
            <c:dLbl>
              <c:idx val="0"/>
              <c:layout>
                <c:manualLayout>
                  <c:x val="2.8894783626987001E-3"/>
                  <c:y val="0.122778675282714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5.2973158032367533E-17"/>
                  <c:y val="0.1292407108239095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8894783626987001E-3"/>
                  <c:y val="0.1421647819063003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
                  <c:y val="0.10339256865912763"/>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Table'!$D$42:$D$46</c:f>
              <c:strCache>
                <c:ptCount val="5"/>
                <c:pt idx="0">
                  <c:v>Alice Smith</c:v>
                </c:pt>
                <c:pt idx="1">
                  <c:v>John Doe</c:v>
                </c:pt>
                <c:pt idx="2">
                  <c:v>Maria Garcia</c:v>
                </c:pt>
                <c:pt idx="3">
                  <c:v>Nina Patel</c:v>
                </c:pt>
                <c:pt idx="4">
                  <c:v>Tom Lee</c:v>
                </c:pt>
              </c:strCache>
            </c:strRef>
          </c:cat>
          <c:val>
            <c:numRef>
              <c:f>'Pivot Table'!$F$42:$F$46</c:f>
              <c:numCache>
                <c:formatCode>General</c:formatCode>
                <c:ptCount val="5"/>
                <c:pt idx="0">
                  <c:v>217</c:v>
                </c:pt>
                <c:pt idx="1">
                  <c:v>218</c:v>
                </c:pt>
                <c:pt idx="2">
                  <c:v>259</c:v>
                </c:pt>
                <c:pt idx="3">
                  <c:v>138</c:v>
                </c:pt>
                <c:pt idx="4">
                  <c:v>247</c:v>
                </c:pt>
              </c:numCache>
            </c:numRef>
          </c:val>
        </c:ser>
        <c:dLbls>
          <c:showLegendKey val="0"/>
          <c:showVal val="1"/>
          <c:showCatName val="0"/>
          <c:showSerName val="0"/>
          <c:showPercent val="0"/>
          <c:showBubbleSize val="0"/>
        </c:dLbls>
        <c:gapWidth val="150"/>
        <c:axId val="265243896"/>
        <c:axId val="265243504"/>
      </c:barChart>
      <c:lineChart>
        <c:grouping val="standard"/>
        <c:varyColors val="0"/>
        <c:ser>
          <c:idx val="2"/>
          <c:order val="2"/>
          <c:tx>
            <c:strRef>
              <c:f>'Pivot Table'!$G$41</c:f>
              <c:strCache>
                <c:ptCount val="1"/>
                <c:pt idx="0">
                  <c:v>Interviewed to Rejected %</c:v>
                </c:pt>
              </c:strCache>
            </c:strRef>
          </c:tx>
          <c:spPr>
            <a:ln w="28575" cap="rnd">
              <a:solidFill>
                <a:schemeClr val="accent1">
                  <a:shade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Table'!$D$42:$D$46</c:f>
              <c:strCache>
                <c:ptCount val="5"/>
                <c:pt idx="0">
                  <c:v>Alice Smith</c:v>
                </c:pt>
                <c:pt idx="1">
                  <c:v>John Doe</c:v>
                </c:pt>
                <c:pt idx="2">
                  <c:v>Maria Garcia</c:v>
                </c:pt>
                <c:pt idx="3">
                  <c:v>Nina Patel</c:v>
                </c:pt>
                <c:pt idx="4">
                  <c:v>Tom Lee</c:v>
                </c:pt>
              </c:strCache>
            </c:strRef>
          </c:cat>
          <c:val>
            <c:numRef>
              <c:f>'Pivot Table'!$G$42:$G$46</c:f>
              <c:numCache>
                <c:formatCode>0%</c:formatCode>
                <c:ptCount val="5"/>
                <c:pt idx="0">
                  <c:v>0.65558912386706947</c:v>
                </c:pt>
                <c:pt idx="1">
                  <c:v>0.689873417721519</c:v>
                </c:pt>
                <c:pt idx="2">
                  <c:v>0.70958904109589038</c:v>
                </c:pt>
                <c:pt idx="3">
                  <c:v>0.63888888888888884</c:v>
                </c:pt>
                <c:pt idx="4">
                  <c:v>0.63010204081632648</c:v>
                </c:pt>
              </c:numCache>
            </c:numRef>
          </c:val>
          <c:smooth val="0"/>
        </c:ser>
        <c:dLbls>
          <c:showLegendKey val="0"/>
          <c:showVal val="1"/>
          <c:showCatName val="0"/>
          <c:showSerName val="0"/>
          <c:showPercent val="0"/>
          <c:showBubbleSize val="0"/>
        </c:dLbls>
        <c:marker val="1"/>
        <c:smooth val="0"/>
        <c:axId val="265244680"/>
        <c:axId val="265244288"/>
      </c:lineChart>
      <c:catAx>
        <c:axId val="265243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243504"/>
        <c:crosses val="autoZero"/>
        <c:auto val="1"/>
        <c:lblAlgn val="ctr"/>
        <c:lblOffset val="100"/>
        <c:noMultiLvlLbl val="0"/>
      </c:catAx>
      <c:valAx>
        <c:axId val="26524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243896"/>
        <c:crosses val="autoZero"/>
        <c:crossBetween val="between"/>
      </c:valAx>
      <c:valAx>
        <c:axId val="26524428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244680"/>
        <c:crosses val="max"/>
        <c:crossBetween val="between"/>
      </c:valAx>
      <c:catAx>
        <c:axId val="265244680"/>
        <c:scaling>
          <c:orientation val="minMax"/>
        </c:scaling>
        <c:delete val="1"/>
        <c:axPos val="b"/>
        <c:numFmt formatCode="General" sourceLinked="1"/>
        <c:majorTickMark val="none"/>
        <c:minorTickMark val="none"/>
        <c:tickLblPos val="nextTo"/>
        <c:crossAx val="265244288"/>
        <c:crosses val="autoZero"/>
        <c:auto val="1"/>
        <c:lblAlgn val="ctr"/>
        <c:lblOffset val="100"/>
        <c:noMultiLvlLbl val="0"/>
      </c:catAx>
      <c:spPr>
        <a:noFill/>
        <a:ln>
          <a:noFill/>
        </a:ln>
        <a:effectLst/>
      </c:spPr>
    </c:plotArea>
    <c:legend>
      <c:legendPos val="b"/>
      <c:layout>
        <c:manualLayout>
          <c:xMode val="edge"/>
          <c:yMode val="edge"/>
          <c:x val="7.5412510936132979E-2"/>
          <c:y val="1.8752187226596634E-2"/>
          <c:w val="0.88803725340784001"/>
          <c:h val="8.8240816370982675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j-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8.1264216972878389E-2"/>
          <c:y val="0.17129629629629628"/>
          <c:w val="0.82915223097112856"/>
          <c:h val="0.74569663167104117"/>
        </c:manualLayout>
      </c:layout>
      <c:barChart>
        <c:barDir val="col"/>
        <c:grouping val="clustered"/>
        <c:varyColors val="0"/>
        <c:ser>
          <c:idx val="0"/>
          <c:order val="0"/>
          <c:tx>
            <c:strRef>
              <c:f>'Pivot Table'!$E$48</c:f>
              <c:strCache>
                <c:ptCount val="1"/>
                <c:pt idx="0">
                  <c:v>Selected</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Table'!$D$49:$D$53</c:f>
              <c:strCache>
                <c:ptCount val="5"/>
                <c:pt idx="0">
                  <c:v>Alice Smith</c:v>
                </c:pt>
                <c:pt idx="1">
                  <c:v>John Doe</c:v>
                </c:pt>
                <c:pt idx="2">
                  <c:v>Maria Garcia</c:v>
                </c:pt>
                <c:pt idx="3">
                  <c:v>Nina Patel</c:v>
                </c:pt>
                <c:pt idx="4">
                  <c:v>Tom Lee</c:v>
                </c:pt>
              </c:strCache>
            </c:strRef>
          </c:cat>
          <c:val>
            <c:numRef>
              <c:f>'Pivot Table'!$E$49:$E$53</c:f>
              <c:numCache>
                <c:formatCode>General</c:formatCode>
                <c:ptCount val="5"/>
                <c:pt idx="0">
                  <c:v>109</c:v>
                </c:pt>
                <c:pt idx="1">
                  <c:v>138</c:v>
                </c:pt>
                <c:pt idx="2">
                  <c:v>154</c:v>
                </c:pt>
                <c:pt idx="3">
                  <c:v>87</c:v>
                </c:pt>
                <c:pt idx="4">
                  <c:v>157</c:v>
                </c:pt>
              </c:numCache>
            </c:numRef>
          </c:val>
        </c:ser>
        <c:ser>
          <c:idx val="1"/>
          <c:order val="1"/>
          <c:tx>
            <c:strRef>
              <c:f>'Pivot Table'!$F$48</c:f>
              <c:strCache>
                <c:ptCount val="1"/>
                <c:pt idx="0">
                  <c:v>Hired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Table'!$D$49:$D$53</c:f>
              <c:strCache>
                <c:ptCount val="5"/>
                <c:pt idx="0">
                  <c:v>Alice Smith</c:v>
                </c:pt>
                <c:pt idx="1">
                  <c:v>John Doe</c:v>
                </c:pt>
                <c:pt idx="2">
                  <c:v>Maria Garcia</c:v>
                </c:pt>
                <c:pt idx="3">
                  <c:v>Nina Patel</c:v>
                </c:pt>
                <c:pt idx="4">
                  <c:v>Tom Lee</c:v>
                </c:pt>
              </c:strCache>
            </c:strRef>
          </c:cat>
          <c:val>
            <c:numRef>
              <c:f>'Pivot Table'!$F$49:$F$53</c:f>
              <c:numCache>
                <c:formatCode>General</c:formatCode>
                <c:ptCount val="5"/>
                <c:pt idx="0">
                  <c:v>40</c:v>
                </c:pt>
                <c:pt idx="1">
                  <c:v>33</c:v>
                </c:pt>
                <c:pt idx="2">
                  <c:v>36</c:v>
                </c:pt>
                <c:pt idx="3">
                  <c:v>17</c:v>
                </c:pt>
                <c:pt idx="4">
                  <c:v>46</c:v>
                </c:pt>
              </c:numCache>
            </c:numRef>
          </c:val>
        </c:ser>
        <c:dLbls>
          <c:dLblPos val="ctr"/>
          <c:showLegendKey val="0"/>
          <c:showVal val="1"/>
          <c:showCatName val="0"/>
          <c:showSerName val="0"/>
          <c:showPercent val="0"/>
          <c:showBubbleSize val="0"/>
        </c:dLbls>
        <c:gapWidth val="150"/>
        <c:axId val="274217176"/>
        <c:axId val="274215608"/>
      </c:barChart>
      <c:lineChart>
        <c:grouping val="standard"/>
        <c:varyColors val="0"/>
        <c:ser>
          <c:idx val="2"/>
          <c:order val="2"/>
          <c:tx>
            <c:strRef>
              <c:f>'Pivot Table'!$G$48</c:f>
              <c:strCache>
                <c:ptCount val="1"/>
                <c:pt idx="0">
                  <c:v>Selected To Hired</c:v>
                </c:pt>
              </c:strCache>
            </c:strRef>
          </c:tx>
          <c:spPr>
            <a:ln w="28575" cap="rnd">
              <a:solidFill>
                <a:schemeClr val="accent1">
                  <a:shade val="65000"/>
                </a:schemeClr>
              </a:solidFill>
              <a:round/>
            </a:ln>
            <a:effectLst/>
          </c:spPr>
          <c:marker>
            <c:symbol val="none"/>
          </c:marker>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Table'!$D$49:$D$53</c:f>
              <c:strCache>
                <c:ptCount val="5"/>
                <c:pt idx="0">
                  <c:v>Alice Smith</c:v>
                </c:pt>
                <c:pt idx="1">
                  <c:v>John Doe</c:v>
                </c:pt>
                <c:pt idx="2">
                  <c:v>Maria Garcia</c:v>
                </c:pt>
                <c:pt idx="3">
                  <c:v>Nina Patel</c:v>
                </c:pt>
                <c:pt idx="4">
                  <c:v>Tom Lee</c:v>
                </c:pt>
              </c:strCache>
            </c:strRef>
          </c:cat>
          <c:val>
            <c:numRef>
              <c:f>'Pivot Table'!$G$49:$G$53</c:f>
              <c:numCache>
                <c:formatCode>0%</c:formatCode>
                <c:ptCount val="5"/>
                <c:pt idx="0">
                  <c:v>0.3669724770642202</c:v>
                </c:pt>
                <c:pt idx="1">
                  <c:v>0.2391304347826087</c:v>
                </c:pt>
                <c:pt idx="2">
                  <c:v>0.23376623376623376</c:v>
                </c:pt>
                <c:pt idx="3">
                  <c:v>0.19540229885057472</c:v>
                </c:pt>
                <c:pt idx="4">
                  <c:v>0.2929936305732484</c:v>
                </c:pt>
              </c:numCache>
            </c:numRef>
          </c:val>
          <c:smooth val="0"/>
        </c:ser>
        <c:dLbls>
          <c:dLblPos val="ctr"/>
          <c:showLegendKey val="0"/>
          <c:showVal val="1"/>
          <c:showCatName val="0"/>
          <c:showSerName val="0"/>
          <c:showPercent val="0"/>
          <c:showBubbleSize val="0"/>
        </c:dLbls>
        <c:marker val="1"/>
        <c:smooth val="0"/>
        <c:axId val="274212080"/>
        <c:axId val="274214824"/>
      </c:lineChart>
      <c:catAx>
        <c:axId val="274217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4215608"/>
        <c:crosses val="autoZero"/>
        <c:auto val="1"/>
        <c:lblAlgn val="ctr"/>
        <c:lblOffset val="100"/>
        <c:noMultiLvlLbl val="0"/>
      </c:catAx>
      <c:valAx>
        <c:axId val="274215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4217176"/>
        <c:crosses val="autoZero"/>
        <c:crossBetween val="between"/>
      </c:valAx>
      <c:valAx>
        <c:axId val="2742148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4212080"/>
        <c:crosses val="max"/>
        <c:crossBetween val="between"/>
      </c:valAx>
      <c:catAx>
        <c:axId val="274212080"/>
        <c:scaling>
          <c:orientation val="minMax"/>
        </c:scaling>
        <c:delete val="1"/>
        <c:axPos val="b"/>
        <c:numFmt formatCode="General" sourceLinked="1"/>
        <c:majorTickMark val="none"/>
        <c:minorTickMark val="none"/>
        <c:tickLblPos val="nextTo"/>
        <c:crossAx val="274214824"/>
        <c:crosses val="autoZero"/>
        <c:auto val="1"/>
        <c:lblAlgn val="ctr"/>
        <c:lblOffset val="100"/>
        <c:noMultiLvlLbl val="0"/>
      </c:catAx>
      <c:spPr>
        <a:noFill/>
        <a:ln>
          <a:noFill/>
        </a:ln>
        <a:effectLst/>
      </c:spPr>
    </c:plotArea>
    <c:legend>
      <c:legendPos val="b"/>
      <c:layout>
        <c:manualLayout>
          <c:xMode val="edge"/>
          <c:yMode val="edge"/>
          <c:x val="0.15183508311461066"/>
          <c:y val="2.8011446485855893E-2"/>
          <c:w val="0.71312219305920088"/>
          <c:h val="0.1003115437585023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j-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lumMod val="50000"/>
                </a:schemeClr>
              </a:solidFill>
              <a:ln w="19050">
                <a:solidFill>
                  <a:schemeClr val="lt1"/>
                </a:solidFill>
              </a:ln>
              <a:effectLst/>
            </c:spPr>
          </c:dPt>
          <c:dPt>
            <c:idx val="1"/>
            <c:bubble3D val="0"/>
            <c:spPr>
              <a:solidFill>
                <a:schemeClr val="bg2"/>
              </a:solidFill>
              <a:ln w="19050">
                <a:solidFill>
                  <a:schemeClr val="lt1"/>
                </a:solidFill>
              </a:ln>
              <a:effectLst/>
            </c:spPr>
          </c:dPt>
          <c:dPt>
            <c:idx val="2"/>
            <c:bubble3D val="0"/>
            <c:spPr>
              <a:noFill/>
              <a:ln w="19050">
                <a:noFill/>
              </a:ln>
              <a:effectLst/>
            </c:spPr>
          </c:dPt>
          <c:cat>
            <c:strRef>
              <c:f>'Pivot Table'!$J$34:$L$34</c:f>
              <c:strCache>
                <c:ptCount val="3"/>
                <c:pt idx="0">
                  <c:v>Interviewed To Selected %</c:v>
                </c:pt>
                <c:pt idx="1">
                  <c:v>Remained</c:v>
                </c:pt>
                <c:pt idx="2">
                  <c:v>Total</c:v>
                </c:pt>
              </c:strCache>
            </c:strRef>
          </c:cat>
          <c:val>
            <c:numRef>
              <c:f>'Pivot Table'!$J$35:$L$35</c:f>
              <c:numCache>
                <c:formatCode>0%</c:formatCode>
                <c:ptCount val="3"/>
                <c:pt idx="0">
                  <c:v>0.39814814814814814</c:v>
                </c:pt>
                <c:pt idx="1">
                  <c:v>0.60185185185185186</c:v>
                </c:pt>
                <c:pt idx="2">
                  <c:v>1</c:v>
                </c:pt>
              </c:numCache>
            </c:numRef>
          </c:val>
        </c:ser>
        <c:dLbls>
          <c:showLegendKey val="0"/>
          <c:showVal val="0"/>
          <c:showCatName val="0"/>
          <c:showSerName val="0"/>
          <c:showPercent val="0"/>
          <c:showBubbleSize val="0"/>
          <c:showLeaderLines val="1"/>
        </c:dLbls>
        <c:firstSliceAng val="270"/>
        <c:holeSize val="72"/>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7030A0"/>
              </a:solidFill>
              <a:ln w="19050">
                <a:solidFill>
                  <a:schemeClr val="lt1"/>
                </a:solidFill>
              </a:ln>
              <a:effectLst/>
            </c:spPr>
          </c:dPt>
          <c:dPt>
            <c:idx val="1"/>
            <c:bubble3D val="0"/>
            <c:spPr>
              <a:solidFill>
                <a:schemeClr val="bg2">
                  <a:lumMod val="90000"/>
                </a:schemeClr>
              </a:solidFill>
              <a:ln w="19050">
                <a:solidFill>
                  <a:schemeClr val="lt1"/>
                </a:solidFill>
              </a:ln>
              <a:effectLst/>
            </c:spPr>
          </c:dPt>
          <c:dPt>
            <c:idx val="2"/>
            <c:bubble3D val="0"/>
            <c:spPr>
              <a:noFill/>
              <a:ln w="19050">
                <a:noFill/>
              </a:ln>
              <a:effectLst/>
            </c:spPr>
          </c:dPt>
          <c:cat>
            <c:strRef>
              <c:f>'Pivot Table'!$J$28:$L$28</c:f>
              <c:strCache>
                <c:ptCount val="3"/>
                <c:pt idx="0">
                  <c:v>Contacted To Interviewed %</c:v>
                </c:pt>
                <c:pt idx="1">
                  <c:v>Remained</c:v>
                </c:pt>
                <c:pt idx="2">
                  <c:v>Total</c:v>
                </c:pt>
              </c:strCache>
            </c:strRef>
          </c:cat>
          <c:val>
            <c:numRef>
              <c:f>'Pivot Table'!$J$29:$L$29</c:f>
              <c:numCache>
                <c:formatCode>0%</c:formatCode>
                <c:ptCount val="3"/>
                <c:pt idx="0">
                  <c:v>0.78109932497589196</c:v>
                </c:pt>
                <c:pt idx="1">
                  <c:v>0.21890067502410804</c:v>
                </c:pt>
                <c:pt idx="2">
                  <c:v>1</c:v>
                </c:pt>
              </c:numCache>
            </c:numRef>
          </c:val>
        </c:ser>
        <c:dLbls>
          <c:showLegendKey val="0"/>
          <c:showVal val="0"/>
          <c:showCatName val="0"/>
          <c:showSerName val="0"/>
          <c:showPercent val="0"/>
          <c:showBubbleSize val="0"/>
          <c:showLeaderLines val="1"/>
        </c:dLbls>
        <c:firstSliceAng val="270"/>
        <c:holeSize val="72"/>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C000"/>
              </a:solidFill>
              <a:ln w="19050">
                <a:solidFill>
                  <a:schemeClr val="lt1"/>
                </a:solidFill>
              </a:ln>
              <a:effectLst/>
            </c:spPr>
          </c:dPt>
          <c:dPt>
            <c:idx val="1"/>
            <c:bubble3D val="0"/>
            <c:spPr>
              <a:solidFill>
                <a:schemeClr val="bg2">
                  <a:lumMod val="90000"/>
                </a:schemeClr>
              </a:solidFill>
              <a:ln w="19050">
                <a:solidFill>
                  <a:schemeClr val="lt1"/>
                </a:solidFill>
              </a:ln>
              <a:effectLst/>
            </c:spPr>
          </c:dPt>
          <c:dPt>
            <c:idx val="2"/>
            <c:bubble3D val="0"/>
            <c:spPr>
              <a:noFill/>
              <a:ln w="19050">
                <a:noFill/>
              </a:ln>
              <a:effectLst/>
            </c:spPr>
          </c:dPt>
          <c:cat>
            <c:strRef>
              <c:f>'Pivot Table'!$C$11:$E$11</c:f>
              <c:strCache>
                <c:ptCount val="3"/>
                <c:pt idx="0">
                  <c:v>Total Application To Shortlisted</c:v>
                </c:pt>
                <c:pt idx="1">
                  <c:v>Remainder</c:v>
                </c:pt>
                <c:pt idx="2">
                  <c:v>Total</c:v>
                </c:pt>
              </c:strCache>
            </c:strRef>
          </c:cat>
          <c:val>
            <c:numRef>
              <c:f>'Pivot Table'!$C$12:$E$12</c:f>
              <c:numCache>
                <c:formatCode>0%</c:formatCode>
                <c:ptCount val="3"/>
                <c:pt idx="0">
                  <c:v>0.74844804318488534</c:v>
                </c:pt>
                <c:pt idx="1">
                  <c:v>0.25155195681511466</c:v>
                </c:pt>
                <c:pt idx="2">
                  <c:v>1</c:v>
                </c:pt>
              </c:numCache>
            </c:numRef>
          </c:val>
        </c:ser>
        <c:dLbls>
          <c:showLegendKey val="0"/>
          <c:showVal val="0"/>
          <c:showCatName val="0"/>
          <c:showSerName val="0"/>
          <c:showPercent val="0"/>
          <c:showBubbleSize val="0"/>
          <c:showLeaderLines val="1"/>
        </c:dLbls>
        <c:firstSliceAng val="271"/>
        <c:holeSize val="72"/>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dPt>
          <c:dPt>
            <c:idx val="1"/>
            <c:bubble3D val="0"/>
            <c:spPr>
              <a:solidFill>
                <a:schemeClr val="bg2">
                  <a:lumMod val="90000"/>
                </a:schemeClr>
              </a:solidFill>
              <a:ln w="19050">
                <a:solidFill>
                  <a:schemeClr val="lt1"/>
                </a:solidFill>
              </a:ln>
              <a:effectLst/>
            </c:spPr>
          </c:dPt>
          <c:dPt>
            <c:idx val="2"/>
            <c:bubble3D val="0"/>
            <c:spPr>
              <a:noFill/>
              <a:ln w="19050">
                <a:noFill/>
              </a:ln>
              <a:effectLst/>
            </c:spPr>
          </c:dPt>
          <c:cat>
            <c:strRef>
              <c:f>'Pivot Table'!$J$41:$L$41</c:f>
              <c:strCache>
                <c:ptCount val="3"/>
                <c:pt idx="0">
                  <c:v>Interviewed To Rejected %</c:v>
                </c:pt>
                <c:pt idx="1">
                  <c:v>Remained</c:v>
                </c:pt>
                <c:pt idx="2">
                  <c:v>Total</c:v>
                </c:pt>
              </c:strCache>
            </c:strRef>
          </c:cat>
          <c:val>
            <c:numRef>
              <c:f>'Pivot Table'!$J$42:$L$42</c:f>
              <c:numCache>
                <c:formatCode>0%</c:formatCode>
                <c:ptCount val="3"/>
                <c:pt idx="0">
                  <c:v>0.66604938271604941</c:v>
                </c:pt>
                <c:pt idx="1">
                  <c:v>0.33395061728395059</c:v>
                </c:pt>
                <c:pt idx="2">
                  <c:v>1</c:v>
                </c:pt>
              </c:numCache>
            </c:numRef>
          </c:val>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4">
                  <a:lumMod val="60000"/>
                  <a:lumOff val="40000"/>
                </a:schemeClr>
              </a:solidFill>
              <a:ln w="19050">
                <a:solidFill>
                  <a:schemeClr val="lt1"/>
                </a:solidFill>
              </a:ln>
              <a:effectLst/>
            </c:spPr>
          </c:dPt>
          <c:dPt>
            <c:idx val="1"/>
            <c:bubble3D val="0"/>
            <c:spPr>
              <a:solidFill>
                <a:schemeClr val="bg2">
                  <a:lumMod val="90000"/>
                </a:schemeClr>
              </a:solidFill>
              <a:ln w="19050">
                <a:solidFill>
                  <a:schemeClr val="lt1"/>
                </a:solidFill>
              </a:ln>
              <a:effectLst/>
            </c:spPr>
          </c:dPt>
          <c:dPt>
            <c:idx val="2"/>
            <c:bubble3D val="0"/>
            <c:spPr>
              <a:noFill/>
              <a:ln w="19050">
                <a:noFill/>
              </a:ln>
              <a:effectLst/>
            </c:spPr>
          </c:dPt>
          <c:cat>
            <c:strRef>
              <c:f>'Pivot Table'!$J$48:$L$48</c:f>
              <c:strCache>
                <c:ptCount val="3"/>
                <c:pt idx="0">
                  <c:v>Selected To Hired %</c:v>
                </c:pt>
                <c:pt idx="1">
                  <c:v>Remainder</c:v>
                </c:pt>
                <c:pt idx="2">
                  <c:v>Total</c:v>
                </c:pt>
              </c:strCache>
            </c:strRef>
          </c:cat>
          <c:val>
            <c:numRef>
              <c:f>'Pivot Table'!$J$49:$L$49</c:f>
              <c:numCache>
                <c:formatCode>0%</c:formatCode>
                <c:ptCount val="3"/>
                <c:pt idx="0">
                  <c:v>0.26666666666666666</c:v>
                </c:pt>
                <c:pt idx="1">
                  <c:v>0.73333333333333339</c:v>
                </c:pt>
                <c:pt idx="2">
                  <c:v>1</c:v>
                </c:pt>
              </c:numCache>
            </c:numRef>
          </c:val>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tx2">
                  <a:lumMod val="75000"/>
                </a:schemeClr>
              </a:solidFill>
              <a:ln w="19050">
                <a:solidFill>
                  <a:schemeClr val="lt1"/>
                </a:solidFill>
              </a:ln>
              <a:effectLst/>
            </c:spPr>
          </c:dPt>
          <c:dPt>
            <c:idx val="1"/>
            <c:bubble3D val="0"/>
            <c:spPr>
              <a:solidFill>
                <a:schemeClr val="bg2">
                  <a:lumMod val="90000"/>
                </a:schemeClr>
              </a:solidFill>
              <a:ln w="19050">
                <a:solidFill>
                  <a:schemeClr val="lt1"/>
                </a:solidFill>
              </a:ln>
              <a:effectLst/>
            </c:spPr>
          </c:dPt>
          <c:dPt>
            <c:idx val="2"/>
            <c:bubble3D val="0"/>
            <c:spPr>
              <a:noFill/>
              <a:ln w="19050">
                <a:noFill/>
              </a:ln>
              <a:effectLst/>
            </c:spPr>
          </c:dPt>
          <c:cat>
            <c:strRef>
              <c:f>'Pivot Table'!$J$13:$L$13</c:f>
              <c:strCache>
                <c:ptCount val="3"/>
                <c:pt idx="0">
                  <c:v>Shortlisted To Contacted</c:v>
                </c:pt>
                <c:pt idx="1">
                  <c:v>Remainder</c:v>
                </c:pt>
                <c:pt idx="2">
                  <c:v>Total</c:v>
                </c:pt>
              </c:strCache>
            </c:strRef>
          </c:cat>
          <c:val>
            <c:numRef>
              <c:f>'Pivot Table'!$J$14:$L$14</c:f>
              <c:numCache>
                <c:formatCode>0%</c:formatCode>
                <c:ptCount val="3"/>
                <c:pt idx="0">
                  <c:v>0.74792643346556076</c:v>
                </c:pt>
                <c:pt idx="1">
                  <c:v>0.25207356653443924</c:v>
                </c:pt>
                <c:pt idx="2">
                  <c:v>1</c:v>
                </c:pt>
              </c:numCache>
            </c:numRef>
          </c:val>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1">
  <a:schemeClr val="accent1"/>
</cs:colorStyle>
</file>

<file path=xl/charts/colors16.xml><?xml version="1.0" encoding="utf-8"?>
<cs:colorStyle xmlns:cs="http://schemas.microsoft.com/office/drawing/2012/chartStyle" xmlns:a="http://schemas.openxmlformats.org/drawingml/2006/main" meth="withinLinearReversed" id="21">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Reversed" id="21">
  <a:schemeClr val="accent1"/>
</cs:colorStyle>
</file>

<file path=xl/charts/colors19.xml><?xml version="1.0" encoding="utf-8"?>
<cs:colorStyle xmlns:cs="http://schemas.microsoft.com/office/drawing/2012/chartStyle" xmlns:a="http://schemas.openxmlformats.org/drawingml/2006/main" meth="withinLinearReversed" id="21">
  <a:schemeClr val="accent1"/>
</cs:colorStyle>
</file>

<file path=xl/charts/colors20.xml><?xml version="1.0" encoding="utf-8"?>
<cs:colorStyle xmlns:cs="http://schemas.microsoft.com/office/drawing/2012/chartStyle" xmlns:a="http://schemas.openxmlformats.org/drawingml/2006/main" meth="withinLinearReversed" id="21">
  <a:schemeClr val="accent1"/>
</cs:colorStyle>
</file>

<file path=xl/charts/colors21.xml><?xml version="1.0" encoding="utf-8"?>
<cs:colorStyle xmlns:cs="http://schemas.microsoft.com/office/drawing/2012/chartStyle" xmlns:a="http://schemas.openxmlformats.org/drawingml/2006/main" meth="withinLinearReversed" id="21">
  <a:schemeClr val="accent1"/>
</cs:colorStyle>
</file>

<file path=xl/charts/colors22.xml><?xml version="1.0" encoding="utf-8"?>
<cs:colorStyle xmlns:cs="http://schemas.microsoft.com/office/drawing/2012/chartStyle" xmlns:a="http://schemas.openxmlformats.org/drawingml/2006/main" meth="withinLinear" id="16">
  <a:schemeClr val="accent3"/>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14</xdr:col>
      <xdr:colOff>257175</xdr:colOff>
      <xdr:row>20</xdr:row>
      <xdr:rowOff>57149</xdr:rowOff>
    </xdr:from>
    <xdr:to>
      <xdr:col>21</xdr:col>
      <xdr:colOff>257175</xdr:colOff>
      <xdr:row>33</xdr:row>
      <xdr:rowOff>19049</xdr:rowOff>
    </xdr:to>
    <xdr:sp macro="" textlink="">
      <xdr:nvSpPr>
        <xdr:cNvPr id="2" name="Rounded Rectangle 1"/>
        <xdr:cNvSpPr/>
      </xdr:nvSpPr>
      <xdr:spPr>
        <a:xfrm>
          <a:off x="9858375" y="3676649"/>
          <a:ext cx="4800600" cy="2314575"/>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133350</xdr:colOff>
      <xdr:row>20</xdr:row>
      <xdr:rowOff>76199</xdr:rowOff>
    </xdr:from>
    <xdr:to>
      <xdr:col>14</xdr:col>
      <xdr:colOff>133350</xdr:colOff>
      <xdr:row>33</xdr:row>
      <xdr:rowOff>38099</xdr:rowOff>
    </xdr:to>
    <xdr:sp macro="" textlink="">
      <xdr:nvSpPr>
        <xdr:cNvPr id="3" name="Rounded Rectangle 2"/>
        <xdr:cNvSpPr/>
      </xdr:nvSpPr>
      <xdr:spPr>
        <a:xfrm>
          <a:off x="4967288" y="3648074"/>
          <a:ext cx="4833937" cy="2283619"/>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20</xdr:row>
      <xdr:rowOff>66674</xdr:rowOff>
    </xdr:from>
    <xdr:to>
      <xdr:col>7</xdr:col>
      <xdr:colOff>57150</xdr:colOff>
      <xdr:row>33</xdr:row>
      <xdr:rowOff>28574</xdr:rowOff>
    </xdr:to>
    <xdr:sp macro="" textlink="">
      <xdr:nvSpPr>
        <xdr:cNvPr id="4" name="Rounded Rectangle 3"/>
        <xdr:cNvSpPr/>
      </xdr:nvSpPr>
      <xdr:spPr>
        <a:xfrm>
          <a:off x="57150" y="3686174"/>
          <a:ext cx="4800600" cy="2314575"/>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200025</xdr:colOff>
      <xdr:row>7</xdr:row>
      <xdr:rowOff>47624</xdr:rowOff>
    </xdr:from>
    <xdr:to>
      <xdr:col>21</xdr:col>
      <xdr:colOff>273843</xdr:colOff>
      <xdr:row>20</xdr:row>
      <xdr:rowOff>9524</xdr:rowOff>
    </xdr:to>
    <xdr:sp macro="" textlink="">
      <xdr:nvSpPr>
        <xdr:cNvPr id="5" name="Rounded Rectangle 4"/>
        <xdr:cNvSpPr/>
      </xdr:nvSpPr>
      <xdr:spPr>
        <a:xfrm>
          <a:off x="9867900" y="1297780"/>
          <a:ext cx="4907756" cy="2283619"/>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114300</xdr:colOff>
      <xdr:row>7</xdr:row>
      <xdr:rowOff>66674</xdr:rowOff>
    </xdr:from>
    <xdr:to>
      <xdr:col>14</xdr:col>
      <xdr:colOff>114300</xdr:colOff>
      <xdr:row>20</xdr:row>
      <xdr:rowOff>28574</xdr:rowOff>
    </xdr:to>
    <xdr:sp macro="" textlink="">
      <xdr:nvSpPr>
        <xdr:cNvPr id="6" name="Rounded Rectangle 5"/>
        <xdr:cNvSpPr/>
      </xdr:nvSpPr>
      <xdr:spPr>
        <a:xfrm>
          <a:off x="4914900" y="1333499"/>
          <a:ext cx="4800600" cy="2314575"/>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154782</xdr:colOff>
      <xdr:row>0</xdr:row>
      <xdr:rowOff>71436</xdr:rowOff>
    </xdr:from>
    <xdr:to>
      <xdr:col>4</xdr:col>
      <xdr:colOff>373857</xdr:colOff>
      <xdr:row>6</xdr:row>
      <xdr:rowOff>142874</xdr:rowOff>
    </xdr:to>
    <xdr:sp macro="" textlink="">
      <xdr:nvSpPr>
        <xdr:cNvPr id="7" name="Rectangle 6"/>
        <xdr:cNvSpPr/>
      </xdr:nvSpPr>
      <xdr:spPr>
        <a:xfrm>
          <a:off x="154782" y="71436"/>
          <a:ext cx="2981325" cy="11430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371473</xdr:colOff>
      <xdr:row>1</xdr:row>
      <xdr:rowOff>76200</xdr:rowOff>
    </xdr:from>
    <xdr:ext cx="2324101" cy="789575"/>
    <xdr:sp macro="" textlink="">
      <xdr:nvSpPr>
        <xdr:cNvPr id="11" name="TextBox 10"/>
        <xdr:cNvSpPr txBox="1"/>
      </xdr:nvSpPr>
      <xdr:spPr>
        <a:xfrm flipH="1">
          <a:off x="371473" y="254794"/>
          <a:ext cx="2324101" cy="789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solidFill>
                <a:schemeClr val="bg1"/>
              </a:solidFill>
            </a:rPr>
            <a:t>Job</a:t>
          </a:r>
          <a:r>
            <a:rPr lang="en-US" sz="2400" b="1" baseline="0">
              <a:solidFill>
                <a:schemeClr val="bg1"/>
              </a:solidFill>
            </a:rPr>
            <a:t> Role KPIs</a:t>
          </a:r>
          <a:endParaRPr lang="en-US" sz="2400" b="1">
            <a:solidFill>
              <a:schemeClr val="bg1"/>
            </a:solidFill>
          </a:endParaRPr>
        </a:p>
      </xdr:txBody>
    </xdr:sp>
    <xdr:clientData/>
  </xdr:oneCellAnchor>
  <xdr:twoCellAnchor>
    <xdr:from>
      <xdr:col>0</xdr:col>
      <xdr:colOff>47625</xdr:colOff>
      <xdr:row>7</xdr:row>
      <xdr:rowOff>47624</xdr:rowOff>
    </xdr:from>
    <xdr:to>
      <xdr:col>7</xdr:col>
      <xdr:colOff>47625</xdr:colOff>
      <xdr:row>20</xdr:row>
      <xdr:rowOff>9524</xdr:rowOff>
    </xdr:to>
    <xdr:sp macro="" textlink="">
      <xdr:nvSpPr>
        <xdr:cNvPr id="12" name="Rounded Rectangle 11"/>
        <xdr:cNvSpPr/>
      </xdr:nvSpPr>
      <xdr:spPr>
        <a:xfrm>
          <a:off x="47625" y="1314449"/>
          <a:ext cx="4800600" cy="2314575"/>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j-lt"/>
          </a:endParaRPr>
        </a:p>
      </xdr:txBody>
    </xdr:sp>
    <xdr:clientData/>
  </xdr:twoCellAnchor>
  <xdr:oneCellAnchor>
    <xdr:from>
      <xdr:col>0</xdr:col>
      <xdr:colOff>200024</xdr:colOff>
      <xdr:row>7</xdr:row>
      <xdr:rowOff>85725</xdr:rowOff>
    </xdr:from>
    <xdr:ext cx="4448176" cy="269369"/>
    <xdr:sp macro="" textlink="">
      <xdr:nvSpPr>
        <xdr:cNvPr id="14" name="TextBox 13"/>
        <xdr:cNvSpPr txBox="1"/>
      </xdr:nvSpPr>
      <xdr:spPr>
        <a:xfrm flipH="1">
          <a:off x="200024" y="1352550"/>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bg1"/>
              </a:solidFill>
              <a:latin typeface="+mj-lt"/>
            </a:rPr>
            <a:t>Total</a:t>
          </a:r>
          <a:r>
            <a:rPr lang="en-US" sz="1200" b="1" baseline="0">
              <a:solidFill>
                <a:schemeClr val="bg1"/>
              </a:solidFill>
              <a:latin typeface="+mj-lt"/>
            </a:rPr>
            <a:t> Application To Shortlist % By Job Title</a:t>
          </a:r>
          <a:endParaRPr lang="en-US" sz="1200" b="1">
            <a:solidFill>
              <a:schemeClr val="bg1"/>
            </a:solidFill>
            <a:latin typeface="+mj-lt"/>
          </a:endParaRPr>
        </a:p>
      </xdr:txBody>
    </xdr:sp>
    <xdr:clientData/>
  </xdr:oneCellAnchor>
  <xdr:oneCellAnchor>
    <xdr:from>
      <xdr:col>7</xdr:col>
      <xdr:colOff>109006</xdr:colOff>
      <xdr:row>7</xdr:row>
      <xdr:rowOff>89959</xdr:rowOff>
    </xdr:from>
    <xdr:ext cx="4448176" cy="269369"/>
    <xdr:sp macro="" textlink="">
      <xdr:nvSpPr>
        <xdr:cNvPr id="16" name="TextBox 15"/>
        <xdr:cNvSpPr txBox="1"/>
      </xdr:nvSpPr>
      <xdr:spPr>
        <a:xfrm flipH="1">
          <a:off x="4909606" y="1356784"/>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bg1"/>
              </a:solidFill>
              <a:latin typeface="+mj-lt"/>
            </a:rPr>
            <a:t>Total</a:t>
          </a:r>
          <a:r>
            <a:rPr lang="en-US" sz="1200" b="1" baseline="0">
              <a:solidFill>
                <a:schemeClr val="bg1"/>
              </a:solidFill>
              <a:latin typeface="+mj-lt"/>
            </a:rPr>
            <a:t> Shortlist To Contacted% By Job Title</a:t>
          </a:r>
          <a:endParaRPr lang="en-US" sz="1200" b="1">
            <a:solidFill>
              <a:schemeClr val="bg1"/>
            </a:solidFill>
            <a:latin typeface="+mj-lt"/>
          </a:endParaRPr>
        </a:p>
      </xdr:txBody>
    </xdr:sp>
    <xdr:clientData/>
  </xdr:oneCellAnchor>
  <xdr:twoCellAnchor>
    <xdr:from>
      <xdr:col>0</xdr:col>
      <xdr:colOff>6616</xdr:colOff>
      <xdr:row>33</xdr:row>
      <xdr:rowOff>86255</xdr:rowOff>
    </xdr:from>
    <xdr:to>
      <xdr:col>14</xdr:col>
      <xdr:colOff>126207</xdr:colOff>
      <xdr:row>48</xdr:row>
      <xdr:rowOff>154782</xdr:rowOff>
    </xdr:to>
    <xdr:sp macro="" textlink="">
      <xdr:nvSpPr>
        <xdr:cNvPr id="17" name="Rounded Rectangle 16"/>
        <xdr:cNvSpPr/>
      </xdr:nvSpPr>
      <xdr:spPr>
        <a:xfrm>
          <a:off x="6616" y="5979849"/>
          <a:ext cx="9787466" cy="2747433"/>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506940</xdr:colOff>
      <xdr:row>34</xdr:row>
      <xdr:rowOff>33072</xdr:rowOff>
    </xdr:from>
    <xdr:ext cx="9104843" cy="357790"/>
    <xdr:sp macro="" textlink="">
      <xdr:nvSpPr>
        <xdr:cNvPr id="18" name="TextBox 17"/>
        <xdr:cNvSpPr txBox="1"/>
      </xdr:nvSpPr>
      <xdr:spPr>
        <a:xfrm flipH="1">
          <a:off x="506940" y="6186222"/>
          <a:ext cx="910484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a:solidFill>
                <a:schemeClr val="bg1"/>
              </a:solidFill>
              <a:latin typeface="+mj-lt"/>
            </a:rPr>
            <a:t>Overall</a:t>
          </a:r>
          <a:r>
            <a:rPr lang="en-US" sz="1800" b="1" baseline="0">
              <a:solidFill>
                <a:schemeClr val="bg1"/>
              </a:solidFill>
              <a:latin typeface="+mj-lt"/>
            </a:rPr>
            <a:t> Comparision By Job Title</a:t>
          </a:r>
          <a:endParaRPr lang="en-US" sz="1800" b="1">
            <a:solidFill>
              <a:schemeClr val="bg1"/>
            </a:solidFill>
            <a:latin typeface="+mj-lt"/>
          </a:endParaRPr>
        </a:p>
      </xdr:txBody>
    </xdr:sp>
    <xdr:clientData/>
  </xdr:oneCellAnchor>
  <xdr:oneCellAnchor>
    <xdr:from>
      <xdr:col>13</xdr:col>
      <xdr:colOff>631823</xdr:colOff>
      <xdr:row>7</xdr:row>
      <xdr:rowOff>47890</xdr:rowOff>
    </xdr:from>
    <xdr:ext cx="4448176" cy="269369"/>
    <xdr:sp macro="" textlink="">
      <xdr:nvSpPr>
        <xdr:cNvPr id="20" name="TextBox 19"/>
        <xdr:cNvSpPr txBox="1"/>
      </xdr:nvSpPr>
      <xdr:spPr>
        <a:xfrm flipH="1">
          <a:off x="9547223" y="1314715"/>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Contacted To Interviewed  %By Job Title</a:t>
          </a:r>
          <a:endParaRPr lang="en-US" sz="1200" b="1">
            <a:solidFill>
              <a:schemeClr val="bg1"/>
            </a:solidFill>
            <a:latin typeface="+mj-lt"/>
          </a:endParaRPr>
        </a:p>
      </xdr:txBody>
    </xdr:sp>
    <xdr:clientData/>
  </xdr:oneCellAnchor>
  <xdr:oneCellAnchor>
    <xdr:from>
      <xdr:col>0</xdr:col>
      <xdr:colOff>0</xdr:colOff>
      <xdr:row>20</xdr:row>
      <xdr:rowOff>130176</xdr:rowOff>
    </xdr:from>
    <xdr:ext cx="4448176" cy="269369"/>
    <xdr:sp macro="" textlink="">
      <xdr:nvSpPr>
        <xdr:cNvPr id="21" name="TextBox 20"/>
        <xdr:cNvSpPr txBox="1"/>
      </xdr:nvSpPr>
      <xdr:spPr>
        <a:xfrm flipH="1">
          <a:off x="0" y="3749676"/>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Interviewed To Selected% By Job Title</a:t>
          </a:r>
          <a:endParaRPr lang="en-US" sz="1200" b="1">
            <a:solidFill>
              <a:schemeClr val="bg1"/>
            </a:solidFill>
            <a:latin typeface="+mj-lt"/>
          </a:endParaRPr>
        </a:p>
      </xdr:txBody>
    </xdr:sp>
    <xdr:clientData/>
  </xdr:oneCellAnchor>
  <xdr:oneCellAnchor>
    <xdr:from>
      <xdr:col>14</xdr:col>
      <xdr:colOff>79374</xdr:colOff>
      <xdr:row>20</xdr:row>
      <xdr:rowOff>81493</xdr:rowOff>
    </xdr:from>
    <xdr:ext cx="4448176" cy="269369"/>
    <xdr:sp macro="" textlink="">
      <xdr:nvSpPr>
        <xdr:cNvPr id="22" name="TextBox 21"/>
        <xdr:cNvSpPr txBox="1"/>
      </xdr:nvSpPr>
      <xdr:spPr>
        <a:xfrm flipH="1">
          <a:off x="9680574" y="3700993"/>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Selected To Hired By Job Title</a:t>
          </a:r>
          <a:endParaRPr lang="en-US" sz="1200" b="1">
            <a:solidFill>
              <a:schemeClr val="bg1"/>
            </a:solidFill>
            <a:latin typeface="+mj-lt"/>
          </a:endParaRPr>
        </a:p>
      </xdr:txBody>
    </xdr:sp>
    <xdr:clientData/>
  </xdr:oneCellAnchor>
  <xdr:oneCellAnchor>
    <xdr:from>
      <xdr:col>7</xdr:col>
      <xdr:colOff>62440</xdr:colOff>
      <xdr:row>20</xdr:row>
      <xdr:rowOff>106893</xdr:rowOff>
    </xdr:from>
    <xdr:ext cx="4448176" cy="269369"/>
    <xdr:sp macro="" textlink="">
      <xdr:nvSpPr>
        <xdr:cNvPr id="23" name="TextBox 22"/>
        <xdr:cNvSpPr txBox="1"/>
      </xdr:nvSpPr>
      <xdr:spPr>
        <a:xfrm flipH="1">
          <a:off x="4863040" y="3726393"/>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Interviewed To Rejected% By Job Title</a:t>
          </a:r>
          <a:endParaRPr lang="en-US" sz="1200" b="1">
            <a:solidFill>
              <a:schemeClr val="bg1"/>
            </a:solidFill>
            <a:latin typeface="+mj-lt"/>
          </a:endParaRPr>
        </a:p>
      </xdr:txBody>
    </xdr:sp>
    <xdr:clientData/>
  </xdr:oneCellAnchor>
  <xdr:twoCellAnchor>
    <xdr:from>
      <xdr:col>14</xdr:col>
      <xdr:colOff>239712</xdr:colOff>
      <xdr:row>33</xdr:row>
      <xdr:rowOff>88901</xdr:rowOff>
    </xdr:from>
    <xdr:to>
      <xdr:col>21</xdr:col>
      <xdr:colOff>276225</xdr:colOff>
      <xdr:row>48</xdr:row>
      <xdr:rowOff>161925</xdr:rowOff>
    </xdr:to>
    <xdr:sp macro="" textlink="">
      <xdr:nvSpPr>
        <xdr:cNvPr id="24" name="Rounded Rectangle 23"/>
        <xdr:cNvSpPr/>
      </xdr:nvSpPr>
      <xdr:spPr>
        <a:xfrm>
          <a:off x="9840912" y="6061076"/>
          <a:ext cx="4837113" cy="2787649"/>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378619</xdr:colOff>
      <xdr:row>0</xdr:row>
      <xdr:rowOff>146315</xdr:rowOff>
    </xdr:from>
    <xdr:to>
      <xdr:col>24</xdr:col>
      <xdr:colOff>143669</xdr:colOff>
      <xdr:row>12</xdr:row>
      <xdr:rowOff>52387</xdr:rowOff>
    </xdr:to>
    <mc:AlternateContent xmlns:mc="http://schemas.openxmlformats.org/markup-compatibility/2006">
      <mc:Choice xmlns:a14="http://schemas.microsoft.com/office/drawing/2010/main" Requires="a14">
        <xdr:graphicFrame macro="">
          <xdr:nvGraphicFramePr>
            <xdr:cNvPr id="41" name="Source 1"/>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dr:sp macro="" textlink="">
          <xdr:nvSpPr>
            <xdr:cNvPr id="0" name=""/>
            <xdr:cNvSpPr>
              <a:spLocks noTextEdit="1"/>
            </xdr:cNvSpPr>
          </xdr:nvSpPr>
          <xdr:spPr>
            <a:xfrm>
              <a:off x="14666119" y="146315"/>
              <a:ext cx="1806121" cy="2028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365126</xdr:colOff>
      <xdr:row>12</xdr:row>
      <xdr:rowOff>83608</xdr:rowOff>
    </xdr:from>
    <xdr:to>
      <xdr:col>24</xdr:col>
      <xdr:colOff>130176</xdr:colOff>
      <xdr:row>23</xdr:row>
      <xdr:rowOff>123824</xdr:rowOff>
    </xdr:to>
    <mc:AlternateContent xmlns:mc="http://schemas.openxmlformats.org/markup-compatibility/2006" xmlns:a14="http://schemas.microsoft.com/office/drawing/2010/main">
      <mc:Choice Requires="a14">
        <xdr:graphicFrame macro="">
          <xdr:nvGraphicFramePr>
            <xdr:cNvPr id="42" name="Job Title 1"/>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14866939" y="2226733"/>
              <a:ext cx="1836737" cy="2004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378884</xdr:colOff>
      <xdr:row>24</xdr:row>
      <xdr:rowOff>45509</xdr:rowOff>
    </xdr:from>
    <xdr:to>
      <xdr:col>24</xdr:col>
      <xdr:colOff>143934</xdr:colOff>
      <xdr:row>36</xdr:row>
      <xdr:rowOff>161925</xdr:rowOff>
    </xdr:to>
    <mc:AlternateContent xmlns:mc="http://schemas.openxmlformats.org/markup-compatibility/2006" xmlns:a14="http://schemas.microsoft.com/office/drawing/2010/main">
      <mc:Choice Requires="a14">
        <xdr:graphicFrame macro="">
          <xdr:nvGraphicFramePr>
            <xdr:cNvPr id="43" name="Recruiter Name 1"/>
            <xdr:cNvGraphicFramePr/>
          </xdr:nvGraphicFramePr>
          <xdr:xfrm>
            <a:off x="0" y="0"/>
            <a:ext cx="0" cy="0"/>
          </xdr:xfrm>
          <a:graphic>
            <a:graphicData uri="http://schemas.microsoft.com/office/drawing/2010/slicer">
              <sle:slicer xmlns:sle="http://schemas.microsoft.com/office/drawing/2010/slicer" name="Recruiter Name 1"/>
            </a:graphicData>
          </a:graphic>
        </xdr:graphicFrame>
      </mc:Choice>
      <mc:Fallback xmlns="">
        <xdr:sp macro="" textlink="">
          <xdr:nvSpPr>
            <xdr:cNvPr id="0" name=""/>
            <xdr:cNvSpPr>
              <a:spLocks noTextEdit="1"/>
            </xdr:cNvSpPr>
          </xdr:nvSpPr>
          <xdr:spPr>
            <a:xfrm>
              <a:off x="14880697" y="4331759"/>
              <a:ext cx="1836737" cy="2259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371475</xdr:colOff>
      <xdr:row>37</xdr:row>
      <xdr:rowOff>84666</xdr:rowOff>
    </xdr:from>
    <xdr:to>
      <xdr:col>24</xdr:col>
      <xdr:colOff>73025</xdr:colOff>
      <xdr:row>48</xdr:row>
      <xdr:rowOff>66675</xdr:rowOff>
    </xdr:to>
    <mc:AlternateContent xmlns:mc="http://schemas.openxmlformats.org/markup-compatibility/2006" xmlns:a14="http://schemas.microsoft.com/office/drawing/2010/main">
      <mc:Choice Requires="a14">
        <xdr:graphicFrame macro="">
          <xdr:nvGraphicFramePr>
            <xdr:cNvPr id="44" name="Opening Month 1"/>
            <xdr:cNvGraphicFramePr/>
          </xdr:nvGraphicFramePr>
          <xdr:xfrm>
            <a:off x="0" y="0"/>
            <a:ext cx="0" cy="0"/>
          </xdr:xfrm>
          <a:graphic>
            <a:graphicData uri="http://schemas.microsoft.com/office/drawing/2010/slicer">
              <sle:slicer xmlns:sle="http://schemas.microsoft.com/office/drawing/2010/slicer" name="Opening Month 1"/>
            </a:graphicData>
          </a:graphic>
        </xdr:graphicFrame>
      </mc:Choice>
      <mc:Fallback xmlns="">
        <xdr:sp macro="" textlink="">
          <xdr:nvSpPr>
            <xdr:cNvPr id="0" name=""/>
            <xdr:cNvSpPr>
              <a:spLocks noTextEdit="1"/>
            </xdr:cNvSpPr>
          </xdr:nvSpPr>
          <xdr:spPr>
            <a:xfrm>
              <a:off x="14873288" y="6692635"/>
              <a:ext cx="1773237" cy="1946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263524</xdr:colOff>
      <xdr:row>33</xdr:row>
      <xdr:rowOff>159810</xdr:rowOff>
    </xdr:from>
    <xdr:ext cx="4448176" cy="269369"/>
    <xdr:sp macro="" textlink="">
      <xdr:nvSpPr>
        <xdr:cNvPr id="45" name="TextBox 44"/>
        <xdr:cNvSpPr txBox="1"/>
      </xdr:nvSpPr>
      <xdr:spPr>
        <a:xfrm flipH="1">
          <a:off x="9864724" y="6131985"/>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Process Duration By Job Title</a:t>
          </a:r>
          <a:endParaRPr lang="en-US" sz="1200" b="1">
            <a:solidFill>
              <a:schemeClr val="bg1"/>
            </a:solidFill>
            <a:latin typeface="+mj-lt"/>
          </a:endParaRPr>
        </a:p>
      </xdr:txBody>
    </xdr:sp>
    <xdr:clientData/>
  </xdr:oneCellAnchor>
  <xdr:twoCellAnchor>
    <xdr:from>
      <xdr:col>14</xdr:col>
      <xdr:colOff>392907</xdr:colOff>
      <xdr:row>20</xdr:row>
      <xdr:rowOff>130969</xdr:rowOff>
    </xdr:from>
    <xdr:to>
      <xdr:col>20</xdr:col>
      <xdr:colOff>642937</xdr:colOff>
      <xdr:row>32</xdr:row>
      <xdr:rowOff>154782</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107155</xdr:rowOff>
    </xdr:from>
    <xdr:to>
      <xdr:col>7</xdr:col>
      <xdr:colOff>511968</xdr:colOff>
      <xdr:row>24</xdr:row>
      <xdr:rowOff>11906</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259555</xdr:colOff>
      <xdr:row>8</xdr:row>
      <xdr:rowOff>23812</xdr:rowOff>
    </xdr:from>
    <xdr:to>
      <xdr:col>13</xdr:col>
      <xdr:colOff>688180</xdr:colOff>
      <xdr:row>20</xdr:row>
      <xdr:rowOff>23812</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273844</xdr:colOff>
      <xdr:row>7</xdr:row>
      <xdr:rowOff>11905</xdr:rowOff>
    </xdr:from>
    <xdr:to>
      <xdr:col>21</xdr:col>
      <xdr:colOff>11906</xdr:colOff>
      <xdr:row>20</xdr:row>
      <xdr:rowOff>4761</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387615</xdr:colOff>
      <xdr:row>20</xdr:row>
      <xdr:rowOff>119062</xdr:rowOff>
    </xdr:from>
    <xdr:to>
      <xdr:col>6</xdr:col>
      <xdr:colOff>595312</xdr:colOff>
      <xdr:row>32</xdr:row>
      <xdr:rowOff>166687</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254793</xdr:colOff>
      <xdr:row>22</xdr:row>
      <xdr:rowOff>0</xdr:rowOff>
    </xdr:from>
    <xdr:to>
      <xdr:col>13</xdr:col>
      <xdr:colOff>683418</xdr:colOff>
      <xdr:row>33</xdr:row>
      <xdr:rowOff>107155</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321469</xdr:colOff>
      <xdr:row>35</xdr:row>
      <xdr:rowOff>119063</xdr:rowOff>
    </xdr:from>
    <xdr:to>
      <xdr:col>13</xdr:col>
      <xdr:colOff>619123</xdr:colOff>
      <xdr:row>48</xdr:row>
      <xdr:rowOff>133879</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494506</xdr:colOff>
      <xdr:row>35</xdr:row>
      <xdr:rowOff>60326</xdr:rowOff>
    </xdr:from>
    <xdr:to>
      <xdr:col>21</xdr:col>
      <xdr:colOff>218281</xdr:colOff>
      <xdr:row>47</xdr:row>
      <xdr:rowOff>140495</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452438</xdr:colOff>
      <xdr:row>0</xdr:row>
      <xdr:rowOff>71439</xdr:rowOff>
    </xdr:from>
    <xdr:to>
      <xdr:col>21</xdr:col>
      <xdr:colOff>214313</xdr:colOff>
      <xdr:row>6</xdr:row>
      <xdr:rowOff>154782</xdr:rowOff>
    </xdr:to>
    <xdr:sp macro="" textlink="">
      <xdr:nvSpPr>
        <xdr:cNvPr id="75" name="Rectangle 74"/>
        <xdr:cNvSpPr/>
      </xdr:nvSpPr>
      <xdr:spPr>
        <a:xfrm>
          <a:off x="3214688" y="71439"/>
          <a:ext cx="11501438" cy="115490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404812</xdr:colOff>
      <xdr:row>0</xdr:row>
      <xdr:rowOff>23812</xdr:rowOff>
    </xdr:from>
    <xdr:to>
      <xdr:col>21</xdr:col>
      <xdr:colOff>476248</xdr:colOff>
      <xdr:row>10</xdr:row>
      <xdr:rowOff>23811</xdr:rowOff>
    </xdr:to>
    <xdr:grpSp>
      <xdr:nvGrpSpPr>
        <xdr:cNvPr id="54" name="Group 53"/>
        <xdr:cNvGrpSpPr/>
      </xdr:nvGrpSpPr>
      <xdr:grpSpPr>
        <a:xfrm>
          <a:off x="3126241" y="23812"/>
          <a:ext cx="11637507" cy="1768928"/>
          <a:chOff x="3246701" y="93134"/>
          <a:chExt cx="11197975" cy="1751171"/>
        </a:xfrm>
      </xdr:grpSpPr>
      <xdr:sp macro="" textlink="">
        <xdr:nvSpPr>
          <xdr:cNvPr id="55" name="TextBox 54"/>
          <xdr:cNvSpPr txBox="1"/>
        </xdr:nvSpPr>
        <xdr:spPr>
          <a:xfrm flipH="1">
            <a:off x="3305174" y="119063"/>
            <a:ext cx="1695451"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bg1"/>
                </a:solidFill>
                <a:latin typeface="+mj-lt"/>
              </a:rPr>
              <a:t>Total</a:t>
            </a:r>
            <a:r>
              <a:rPr lang="en-US" sz="1200" b="1" baseline="0">
                <a:solidFill>
                  <a:schemeClr val="bg1"/>
                </a:solidFill>
                <a:latin typeface="+mj-lt"/>
              </a:rPr>
              <a:t> Application To Shortlisted %</a:t>
            </a:r>
            <a:endParaRPr lang="en-US" sz="1200" b="1">
              <a:solidFill>
                <a:schemeClr val="bg1"/>
              </a:solidFill>
              <a:latin typeface="+mj-lt"/>
            </a:endParaRPr>
          </a:p>
        </xdr:txBody>
      </xdr:sp>
      <xdr:sp macro="" textlink="">
        <xdr:nvSpPr>
          <xdr:cNvPr id="56" name="TextBox 55"/>
          <xdr:cNvSpPr txBox="1"/>
        </xdr:nvSpPr>
        <xdr:spPr>
          <a:xfrm flipH="1">
            <a:off x="4830760" y="111390"/>
            <a:ext cx="1695451"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 Shortlisted To Contacted %</a:t>
            </a:r>
            <a:endParaRPr lang="en-US" sz="1200" b="1">
              <a:solidFill>
                <a:schemeClr val="bg1"/>
              </a:solidFill>
              <a:latin typeface="+mj-lt"/>
            </a:endParaRPr>
          </a:p>
        </xdr:txBody>
      </xdr:sp>
      <xdr:sp macro="" textlink="">
        <xdr:nvSpPr>
          <xdr:cNvPr id="57" name="TextBox 56"/>
          <xdr:cNvSpPr txBox="1"/>
        </xdr:nvSpPr>
        <xdr:spPr>
          <a:xfrm flipH="1">
            <a:off x="6303430" y="93134"/>
            <a:ext cx="1695451"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Contacted To Interviewed%</a:t>
            </a:r>
            <a:endParaRPr lang="en-US" sz="1200" b="1">
              <a:solidFill>
                <a:schemeClr val="bg1"/>
              </a:solidFill>
              <a:latin typeface="+mj-lt"/>
            </a:endParaRPr>
          </a:p>
        </xdr:txBody>
      </xdr:sp>
      <xdr:sp macro="" textlink="">
        <xdr:nvSpPr>
          <xdr:cNvPr id="58" name="TextBox 57"/>
          <xdr:cNvSpPr txBox="1"/>
        </xdr:nvSpPr>
        <xdr:spPr>
          <a:xfrm flipH="1">
            <a:off x="7806530" y="97366"/>
            <a:ext cx="1695451"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Interviewed To Selected%</a:t>
            </a:r>
            <a:endParaRPr lang="en-US" sz="1200" b="1">
              <a:solidFill>
                <a:schemeClr val="bg1"/>
              </a:solidFill>
              <a:latin typeface="+mj-lt"/>
            </a:endParaRPr>
          </a:p>
        </xdr:txBody>
      </xdr:sp>
      <xdr:sp macro="" textlink="">
        <xdr:nvSpPr>
          <xdr:cNvPr id="59" name="TextBox 58"/>
          <xdr:cNvSpPr txBox="1"/>
        </xdr:nvSpPr>
        <xdr:spPr>
          <a:xfrm flipH="1">
            <a:off x="9288460" y="101600"/>
            <a:ext cx="1695451"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Interviewed To Rejected %</a:t>
            </a:r>
            <a:endParaRPr lang="en-US" sz="1200" b="1">
              <a:solidFill>
                <a:schemeClr val="bg1"/>
              </a:solidFill>
              <a:latin typeface="+mj-lt"/>
            </a:endParaRPr>
          </a:p>
        </xdr:txBody>
      </xdr:sp>
      <xdr:sp macro="" textlink="">
        <xdr:nvSpPr>
          <xdr:cNvPr id="60" name="TextBox 59"/>
          <xdr:cNvSpPr txBox="1"/>
        </xdr:nvSpPr>
        <xdr:spPr>
          <a:xfrm flipH="1">
            <a:off x="10810077" y="120385"/>
            <a:ext cx="1356786"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SelectedTo Hired %</a:t>
            </a:r>
            <a:endParaRPr lang="en-US" sz="1200" b="1">
              <a:solidFill>
                <a:schemeClr val="bg1"/>
              </a:solidFill>
              <a:latin typeface="+mj-lt"/>
            </a:endParaRPr>
          </a:p>
        </xdr:txBody>
      </xdr:sp>
      <xdr:sp macro="" textlink="">
        <xdr:nvSpPr>
          <xdr:cNvPr id="61" name="Rounded Rectangle 60"/>
          <xdr:cNvSpPr/>
        </xdr:nvSpPr>
        <xdr:spPr>
          <a:xfrm>
            <a:off x="12156379" y="266997"/>
            <a:ext cx="1983515" cy="703793"/>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TextBox 61"/>
          <xdr:cNvSpPr txBox="1"/>
        </xdr:nvSpPr>
        <xdr:spPr>
          <a:xfrm flipH="1">
            <a:off x="11809426" y="314949"/>
            <a:ext cx="2635250" cy="61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baseline="0">
                <a:solidFill>
                  <a:schemeClr val="tx1"/>
                </a:solidFill>
                <a:latin typeface="+mj-lt"/>
              </a:rPr>
              <a:t>Job Role</a:t>
            </a:r>
          </a:p>
          <a:p>
            <a:pPr algn="ctr"/>
            <a:r>
              <a:rPr lang="en-US" sz="1800" b="1" baseline="0">
                <a:solidFill>
                  <a:schemeClr val="tx1"/>
                </a:solidFill>
                <a:latin typeface="+mj-lt"/>
              </a:rPr>
              <a:t>KPIs</a:t>
            </a:r>
            <a:endParaRPr lang="en-US" sz="1800" b="1">
              <a:solidFill>
                <a:schemeClr val="tx1"/>
              </a:solidFill>
              <a:latin typeface="+mj-lt"/>
            </a:endParaRPr>
          </a:p>
        </xdr:txBody>
      </xdr:sp>
      <xdr:graphicFrame macro="">
        <xdr:nvGraphicFramePr>
          <xdr:cNvPr id="63" name="Chart 62"/>
          <xdr:cNvGraphicFramePr>
            <a:graphicFrameLocks/>
          </xdr:cNvGraphicFramePr>
        </xdr:nvGraphicFramePr>
        <xdr:xfrm>
          <a:off x="7893843" y="595311"/>
          <a:ext cx="1690688" cy="1238251"/>
        </xdr:xfrm>
        <a:graphic>
          <a:graphicData uri="http://schemas.openxmlformats.org/drawingml/2006/chart">
            <c:chart xmlns:c="http://schemas.openxmlformats.org/drawingml/2006/chart" xmlns:r="http://schemas.openxmlformats.org/officeDocument/2006/relationships" r:id="rId9"/>
          </a:graphicData>
        </a:graphic>
      </xdr:graphicFrame>
      <xdr:sp macro="" textlink="'Pivot Table'!J35">
        <xdr:nvSpPr>
          <xdr:cNvPr id="64" name="TextBox 63"/>
          <xdr:cNvSpPr txBox="1"/>
        </xdr:nvSpPr>
        <xdr:spPr>
          <a:xfrm flipH="1">
            <a:off x="8363742" y="916515"/>
            <a:ext cx="7088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C05D77C-CC5A-4FA4-BC74-3C5DF90DA9F3}" type="TxLink">
              <a:rPr lang="en-US" sz="1600" b="1" i="0" u="none" strike="noStrike" baseline="0">
                <a:solidFill>
                  <a:schemeClr val="bg1"/>
                </a:solidFill>
                <a:latin typeface="Calibri" panose="020F0502020204030204" pitchFamily="34" charset="0"/>
                <a:cs typeface="Calibri" panose="020F0502020204030204" pitchFamily="34" charset="0"/>
              </a:rPr>
              <a:pPr algn="ctr"/>
              <a:t>40%</a:t>
            </a:fld>
            <a:endParaRPr lang="en-US" sz="1600" b="1">
              <a:solidFill>
                <a:schemeClr val="bg1"/>
              </a:solidFill>
              <a:latin typeface="Calibri" panose="020F0502020204030204" pitchFamily="34" charset="0"/>
              <a:cs typeface="Calibri" panose="020F0502020204030204" pitchFamily="34" charset="0"/>
            </a:endParaRPr>
          </a:p>
        </xdr:txBody>
      </xdr:sp>
      <xdr:graphicFrame macro="">
        <xdr:nvGraphicFramePr>
          <xdr:cNvPr id="65" name="Chart 64"/>
          <xdr:cNvGraphicFramePr>
            <a:graphicFrameLocks/>
          </xdr:cNvGraphicFramePr>
        </xdr:nvGraphicFramePr>
        <xdr:xfrm>
          <a:off x="6330420" y="586052"/>
          <a:ext cx="1691640" cy="1234440"/>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J29">
        <xdr:nvSpPr>
          <xdr:cNvPr id="66" name="TextBox 65"/>
          <xdr:cNvSpPr txBox="1"/>
        </xdr:nvSpPr>
        <xdr:spPr>
          <a:xfrm flipH="1">
            <a:off x="6839741" y="916516"/>
            <a:ext cx="70882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DF6D914-7C62-48C9-AF40-351209BDF4FA}" type="TxLink">
              <a:rPr lang="en-US" sz="1600" b="1" i="0" u="none" strike="noStrike" baseline="0">
                <a:solidFill>
                  <a:schemeClr val="bg1"/>
                </a:solidFill>
                <a:latin typeface="Calibri" panose="020F0502020204030204" pitchFamily="34" charset="0"/>
                <a:cs typeface="Calibri" panose="020F0502020204030204" pitchFamily="34" charset="0"/>
              </a:rPr>
              <a:pPr algn="ctr"/>
              <a:t>78%</a:t>
            </a:fld>
            <a:endParaRPr lang="en-US" sz="1600" b="1">
              <a:solidFill>
                <a:schemeClr val="bg1"/>
              </a:solidFill>
              <a:latin typeface="Calibri" panose="020F0502020204030204" pitchFamily="34" charset="0"/>
              <a:cs typeface="Calibri" panose="020F0502020204030204" pitchFamily="34" charset="0"/>
            </a:endParaRPr>
          </a:p>
        </xdr:txBody>
      </xdr:sp>
      <xdr:graphicFrame macro="">
        <xdr:nvGraphicFramePr>
          <xdr:cNvPr id="67" name="Chart 66"/>
          <xdr:cNvGraphicFramePr>
            <a:graphicFrameLocks/>
          </xdr:cNvGraphicFramePr>
        </xdr:nvGraphicFramePr>
        <xdr:xfrm>
          <a:off x="3246701" y="562239"/>
          <a:ext cx="1691640" cy="1234440"/>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C12">
        <xdr:nvSpPr>
          <xdr:cNvPr id="68" name="TextBox 67"/>
          <xdr:cNvSpPr txBox="1"/>
        </xdr:nvSpPr>
        <xdr:spPr>
          <a:xfrm flipH="1">
            <a:off x="3762375" y="902495"/>
            <a:ext cx="6667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082E8DA-98C5-4280-8DBE-8790922F34AB}" type="TxLink">
              <a:rPr lang="en-US" sz="1600" b="1" i="0" u="none" strike="noStrike">
                <a:solidFill>
                  <a:schemeClr val="bg1"/>
                </a:solidFill>
                <a:latin typeface="Calibri" panose="020F0502020204030204" pitchFamily="34" charset="0"/>
                <a:cs typeface="Calibri" panose="020F0502020204030204" pitchFamily="34" charset="0"/>
              </a:rPr>
              <a:pPr algn="ctr"/>
              <a:t>75%</a:t>
            </a:fld>
            <a:endParaRPr lang="en-US" sz="1600" b="1">
              <a:solidFill>
                <a:schemeClr val="bg1"/>
              </a:solidFill>
              <a:latin typeface="Calibri" panose="020F0502020204030204" pitchFamily="34" charset="0"/>
              <a:cs typeface="Calibri" panose="020F0502020204030204" pitchFamily="34" charset="0"/>
            </a:endParaRPr>
          </a:p>
        </xdr:txBody>
      </xdr:sp>
      <xdr:graphicFrame macro="">
        <xdr:nvGraphicFramePr>
          <xdr:cNvPr id="69" name="Chart 68"/>
          <xdr:cNvGraphicFramePr>
            <a:graphicFrameLocks/>
          </xdr:cNvGraphicFramePr>
        </xdr:nvGraphicFramePr>
        <xdr:xfrm>
          <a:off x="9295076" y="609864"/>
          <a:ext cx="1691640" cy="1234440"/>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J42">
        <xdr:nvSpPr>
          <xdr:cNvPr id="70" name="TextBox 69"/>
          <xdr:cNvSpPr txBox="1"/>
        </xdr:nvSpPr>
        <xdr:spPr>
          <a:xfrm flipH="1">
            <a:off x="9462290" y="903817"/>
            <a:ext cx="135678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55F9EB3-D4E9-4FAE-AB50-3623ABA59EAB}" type="TxLink">
              <a:rPr lang="en-US" sz="1600" b="1" i="0" u="none" strike="noStrike" baseline="0">
                <a:solidFill>
                  <a:schemeClr val="bg1"/>
                </a:solidFill>
                <a:latin typeface="Calibri" panose="020F0502020204030204" pitchFamily="34" charset="0"/>
                <a:cs typeface="Calibri" panose="020F0502020204030204" pitchFamily="34" charset="0"/>
              </a:rPr>
              <a:pPr algn="ctr"/>
              <a:t>67%</a:t>
            </a:fld>
            <a:endParaRPr lang="en-US" sz="1600" b="1">
              <a:solidFill>
                <a:schemeClr val="bg1"/>
              </a:solidFill>
              <a:latin typeface="Calibri" panose="020F0502020204030204" pitchFamily="34" charset="0"/>
              <a:cs typeface="Calibri" panose="020F0502020204030204" pitchFamily="34" charset="0"/>
            </a:endParaRPr>
          </a:p>
        </xdr:txBody>
      </xdr:sp>
      <xdr:graphicFrame macro="">
        <xdr:nvGraphicFramePr>
          <xdr:cNvPr id="71" name="Chart 70"/>
          <xdr:cNvGraphicFramePr>
            <a:graphicFrameLocks/>
          </xdr:cNvGraphicFramePr>
        </xdr:nvGraphicFramePr>
        <xdr:xfrm>
          <a:off x="10735731" y="609865"/>
          <a:ext cx="1691640" cy="1234440"/>
        </xdr:xfrm>
        <a:graphic>
          <a:graphicData uri="http://schemas.openxmlformats.org/drawingml/2006/chart">
            <c:chart xmlns:c="http://schemas.openxmlformats.org/drawingml/2006/chart" xmlns:r="http://schemas.openxmlformats.org/officeDocument/2006/relationships" r:id="rId13"/>
          </a:graphicData>
        </a:graphic>
      </xdr:graphicFrame>
      <xdr:sp macro="" textlink="'Pivot Table'!J49">
        <xdr:nvSpPr>
          <xdr:cNvPr id="72" name="TextBox 71"/>
          <xdr:cNvSpPr txBox="1"/>
        </xdr:nvSpPr>
        <xdr:spPr>
          <a:xfrm flipH="1">
            <a:off x="10950571" y="916781"/>
            <a:ext cx="1348585" cy="353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C6B6C71-606D-488E-8266-68E58A6A961B}" type="TxLink">
              <a:rPr lang="en-US" sz="1600" b="1" i="0" u="none" strike="noStrike" baseline="0">
                <a:solidFill>
                  <a:schemeClr val="bg1"/>
                </a:solidFill>
                <a:latin typeface="Calibri" panose="020F0502020204030204" pitchFamily="34" charset="0"/>
                <a:cs typeface="Calibri" panose="020F0502020204030204" pitchFamily="34" charset="0"/>
              </a:rPr>
              <a:pPr algn="ctr"/>
              <a:t>27%</a:t>
            </a:fld>
            <a:endParaRPr lang="en-US" sz="1600" b="1">
              <a:solidFill>
                <a:schemeClr val="bg1"/>
              </a:solidFill>
              <a:latin typeface="Calibri" panose="020F0502020204030204" pitchFamily="34" charset="0"/>
              <a:cs typeface="Calibri" panose="020F0502020204030204" pitchFamily="34" charset="0"/>
            </a:endParaRPr>
          </a:p>
        </xdr:txBody>
      </xdr:sp>
      <xdr:graphicFrame macro="">
        <xdr:nvGraphicFramePr>
          <xdr:cNvPr id="73" name="Chart 72"/>
          <xdr:cNvGraphicFramePr>
            <a:graphicFrameLocks/>
          </xdr:cNvGraphicFramePr>
        </xdr:nvGraphicFramePr>
        <xdr:xfrm>
          <a:off x="4812506" y="588168"/>
          <a:ext cx="1691640" cy="1234440"/>
        </xdr:xfrm>
        <a:graphic>
          <a:graphicData uri="http://schemas.openxmlformats.org/drawingml/2006/chart">
            <c:chart xmlns:c="http://schemas.openxmlformats.org/drawingml/2006/chart" xmlns:r="http://schemas.openxmlformats.org/officeDocument/2006/relationships" r:id="rId14"/>
          </a:graphicData>
        </a:graphic>
      </xdr:graphicFrame>
      <xdr:sp macro="" textlink="'Pivot Table'!J14">
        <xdr:nvSpPr>
          <xdr:cNvPr id="74" name="TextBox 73"/>
          <xdr:cNvSpPr txBox="1"/>
        </xdr:nvSpPr>
        <xdr:spPr>
          <a:xfrm flipH="1">
            <a:off x="5298279" y="906727"/>
            <a:ext cx="66675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442A555-8E4B-4C8D-A8FD-544FDD6FE5C5}" type="TxLink">
              <a:rPr lang="en-US" sz="1600" b="1" i="0" u="none" strike="noStrike" baseline="0">
                <a:solidFill>
                  <a:schemeClr val="bg1"/>
                </a:solidFill>
                <a:latin typeface="Calibri" panose="020F0502020204030204" pitchFamily="34" charset="0"/>
                <a:cs typeface="Calibri" panose="020F0502020204030204" pitchFamily="34" charset="0"/>
              </a:rPr>
              <a:pPr algn="ctr"/>
              <a:t>75%</a:t>
            </a:fld>
            <a:endParaRPr lang="en-US" sz="1600" b="1">
              <a:solidFill>
                <a:schemeClr val="bg1"/>
              </a:solidFill>
              <a:latin typeface="Calibri" panose="020F0502020204030204" pitchFamily="34" charset="0"/>
              <a:cs typeface="Calibri" panose="020F0502020204030204"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257175</xdr:colOff>
      <xdr:row>20</xdr:row>
      <xdr:rowOff>57149</xdr:rowOff>
    </xdr:from>
    <xdr:to>
      <xdr:col>21</xdr:col>
      <xdr:colOff>257175</xdr:colOff>
      <xdr:row>33</xdr:row>
      <xdr:rowOff>19049</xdr:rowOff>
    </xdr:to>
    <xdr:sp macro="" textlink="">
      <xdr:nvSpPr>
        <xdr:cNvPr id="54" name="Rounded Rectangle 53"/>
        <xdr:cNvSpPr/>
      </xdr:nvSpPr>
      <xdr:spPr>
        <a:xfrm>
          <a:off x="9858375" y="3676649"/>
          <a:ext cx="4800600" cy="2314575"/>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133350</xdr:colOff>
      <xdr:row>20</xdr:row>
      <xdr:rowOff>76199</xdr:rowOff>
    </xdr:from>
    <xdr:to>
      <xdr:col>14</xdr:col>
      <xdr:colOff>133350</xdr:colOff>
      <xdr:row>33</xdr:row>
      <xdr:rowOff>38099</xdr:rowOff>
    </xdr:to>
    <xdr:sp macro="" textlink="">
      <xdr:nvSpPr>
        <xdr:cNvPr id="53" name="Rounded Rectangle 52"/>
        <xdr:cNvSpPr/>
      </xdr:nvSpPr>
      <xdr:spPr>
        <a:xfrm>
          <a:off x="4933950" y="3695699"/>
          <a:ext cx="4800600" cy="2314575"/>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20</xdr:row>
      <xdr:rowOff>66674</xdr:rowOff>
    </xdr:from>
    <xdr:to>
      <xdr:col>7</xdr:col>
      <xdr:colOff>57150</xdr:colOff>
      <xdr:row>33</xdr:row>
      <xdr:rowOff>28574</xdr:rowOff>
    </xdr:to>
    <xdr:sp macro="" textlink="">
      <xdr:nvSpPr>
        <xdr:cNvPr id="52" name="Rounded Rectangle 51"/>
        <xdr:cNvSpPr/>
      </xdr:nvSpPr>
      <xdr:spPr>
        <a:xfrm>
          <a:off x="57150" y="3686174"/>
          <a:ext cx="4800600" cy="2314575"/>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200025</xdr:colOff>
      <xdr:row>7</xdr:row>
      <xdr:rowOff>47624</xdr:rowOff>
    </xdr:from>
    <xdr:to>
      <xdr:col>21</xdr:col>
      <xdr:colOff>200025</xdr:colOff>
      <xdr:row>20</xdr:row>
      <xdr:rowOff>9524</xdr:rowOff>
    </xdr:to>
    <xdr:sp macro="" textlink="">
      <xdr:nvSpPr>
        <xdr:cNvPr id="51" name="Rounded Rectangle 50"/>
        <xdr:cNvSpPr/>
      </xdr:nvSpPr>
      <xdr:spPr>
        <a:xfrm>
          <a:off x="9801225" y="1314449"/>
          <a:ext cx="4800600" cy="2314575"/>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114300</xdr:colOff>
      <xdr:row>7</xdr:row>
      <xdr:rowOff>66674</xdr:rowOff>
    </xdr:from>
    <xdr:to>
      <xdr:col>14</xdr:col>
      <xdr:colOff>114300</xdr:colOff>
      <xdr:row>20</xdr:row>
      <xdr:rowOff>28574</xdr:rowOff>
    </xdr:to>
    <xdr:sp macro="" textlink="">
      <xdr:nvSpPr>
        <xdr:cNvPr id="50" name="Rounded Rectangle 49"/>
        <xdr:cNvSpPr/>
      </xdr:nvSpPr>
      <xdr:spPr>
        <a:xfrm>
          <a:off x="4914900" y="1333499"/>
          <a:ext cx="4800600" cy="2314575"/>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0</xdr:row>
      <xdr:rowOff>95249</xdr:rowOff>
    </xdr:from>
    <xdr:to>
      <xdr:col>4</xdr:col>
      <xdr:colOff>314325</xdr:colOff>
      <xdr:row>6</xdr:row>
      <xdr:rowOff>152400</xdr:rowOff>
    </xdr:to>
    <xdr:sp macro="" textlink="">
      <xdr:nvSpPr>
        <xdr:cNvPr id="2" name="Rectangle 1"/>
        <xdr:cNvSpPr/>
      </xdr:nvSpPr>
      <xdr:spPr>
        <a:xfrm>
          <a:off x="95250" y="95249"/>
          <a:ext cx="2962275" cy="11430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389201</xdr:colOff>
      <xdr:row>0</xdr:row>
      <xdr:rowOff>121708</xdr:rowOff>
    </xdr:from>
    <xdr:to>
      <xdr:col>21</xdr:col>
      <xdr:colOff>178594</xdr:colOff>
      <xdr:row>7</xdr:row>
      <xdr:rowOff>265</xdr:rowOff>
    </xdr:to>
    <xdr:sp macro="" textlink="">
      <xdr:nvSpPr>
        <xdr:cNvPr id="9" name="Rectangle 8"/>
        <xdr:cNvSpPr/>
      </xdr:nvSpPr>
      <xdr:spPr>
        <a:xfrm>
          <a:off x="3151451" y="121708"/>
          <a:ext cx="11528956" cy="112871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371473</xdr:colOff>
      <xdr:row>1</xdr:row>
      <xdr:rowOff>76200</xdr:rowOff>
    </xdr:from>
    <xdr:ext cx="2324101" cy="800091"/>
    <xdr:sp macro="" textlink="">
      <xdr:nvSpPr>
        <xdr:cNvPr id="12" name="TextBox 11"/>
        <xdr:cNvSpPr txBox="1"/>
      </xdr:nvSpPr>
      <xdr:spPr>
        <a:xfrm flipH="1">
          <a:off x="371473" y="257175"/>
          <a:ext cx="2324101"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solidFill>
                <a:schemeClr val="bg1"/>
              </a:solidFill>
            </a:rPr>
            <a:t>Recruiting</a:t>
          </a:r>
        </a:p>
        <a:p>
          <a:pPr algn="ctr"/>
          <a:r>
            <a:rPr lang="en-US" sz="2400" b="1">
              <a:solidFill>
                <a:schemeClr val="bg1"/>
              </a:solidFill>
            </a:rPr>
            <a:t>Dashboard</a:t>
          </a:r>
        </a:p>
      </xdr:txBody>
    </xdr:sp>
    <xdr:clientData/>
  </xdr:oneCellAnchor>
  <xdr:twoCellAnchor>
    <xdr:from>
      <xdr:col>0</xdr:col>
      <xdr:colOff>47625</xdr:colOff>
      <xdr:row>7</xdr:row>
      <xdr:rowOff>47624</xdr:rowOff>
    </xdr:from>
    <xdr:to>
      <xdr:col>7</xdr:col>
      <xdr:colOff>47625</xdr:colOff>
      <xdr:row>20</xdr:row>
      <xdr:rowOff>9524</xdr:rowOff>
    </xdr:to>
    <xdr:sp macro="" textlink="">
      <xdr:nvSpPr>
        <xdr:cNvPr id="13" name="Rounded Rectangle 12"/>
        <xdr:cNvSpPr/>
      </xdr:nvSpPr>
      <xdr:spPr>
        <a:xfrm>
          <a:off x="47625" y="1314449"/>
          <a:ext cx="4800600" cy="2314575"/>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j-lt"/>
          </a:endParaRPr>
        </a:p>
      </xdr:txBody>
    </xdr:sp>
    <xdr:clientData/>
  </xdr:twoCellAnchor>
  <xdr:twoCellAnchor>
    <xdr:from>
      <xdr:col>0</xdr:col>
      <xdr:colOff>0</xdr:colOff>
      <xdr:row>9</xdr:row>
      <xdr:rowOff>4764</xdr:rowOff>
    </xdr:from>
    <xdr:to>
      <xdr:col>7</xdr:col>
      <xdr:colOff>171450</xdr:colOff>
      <xdr:row>19</xdr:row>
      <xdr:rowOff>154783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200024</xdr:colOff>
      <xdr:row>7</xdr:row>
      <xdr:rowOff>85725</xdr:rowOff>
    </xdr:from>
    <xdr:ext cx="4448176" cy="269369"/>
    <xdr:sp macro="" textlink="">
      <xdr:nvSpPr>
        <xdr:cNvPr id="14" name="TextBox 13"/>
        <xdr:cNvSpPr txBox="1"/>
      </xdr:nvSpPr>
      <xdr:spPr>
        <a:xfrm flipH="1">
          <a:off x="200024" y="1345142"/>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bg1"/>
              </a:solidFill>
              <a:latin typeface="+mj-lt"/>
            </a:rPr>
            <a:t>Total</a:t>
          </a:r>
          <a:r>
            <a:rPr lang="en-US" sz="1200" b="1" baseline="0">
              <a:solidFill>
                <a:schemeClr val="bg1"/>
              </a:solidFill>
              <a:latin typeface="+mj-lt"/>
            </a:rPr>
            <a:t> Application To Shortlist By Recruiter</a:t>
          </a:r>
          <a:endParaRPr lang="en-US" sz="1200" b="1">
            <a:solidFill>
              <a:schemeClr val="bg1"/>
            </a:solidFill>
            <a:latin typeface="+mj-lt"/>
          </a:endParaRPr>
        </a:p>
      </xdr:txBody>
    </xdr:sp>
    <xdr:clientData/>
  </xdr:oneCellAnchor>
  <xdr:twoCellAnchor>
    <xdr:from>
      <xdr:col>7</xdr:col>
      <xdr:colOff>294217</xdr:colOff>
      <xdr:row>8</xdr:row>
      <xdr:rowOff>158750</xdr:rowOff>
    </xdr:from>
    <xdr:to>
      <xdr:col>13</xdr:col>
      <xdr:colOff>628650</xdr:colOff>
      <xdr:row>20</xdr:row>
      <xdr:rowOff>46038</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109006</xdr:colOff>
      <xdr:row>7</xdr:row>
      <xdr:rowOff>89959</xdr:rowOff>
    </xdr:from>
    <xdr:ext cx="4448176" cy="269369"/>
    <xdr:sp macro="" textlink="">
      <xdr:nvSpPr>
        <xdr:cNvPr id="19" name="TextBox 18"/>
        <xdr:cNvSpPr txBox="1"/>
      </xdr:nvSpPr>
      <xdr:spPr>
        <a:xfrm flipH="1">
          <a:off x="4924423" y="1349376"/>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bg1"/>
              </a:solidFill>
              <a:latin typeface="+mj-lt"/>
            </a:rPr>
            <a:t>Total</a:t>
          </a:r>
          <a:r>
            <a:rPr lang="en-US" sz="1200" b="1" baseline="0">
              <a:solidFill>
                <a:schemeClr val="bg1"/>
              </a:solidFill>
              <a:latin typeface="+mj-lt"/>
            </a:rPr>
            <a:t> Shortlist To Contacted By Recruiter</a:t>
          </a:r>
          <a:endParaRPr lang="en-US" sz="1200" b="1">
            <a:solidFill>
              <a:schemeClr val="bg1"/>
            </a:solidFill>
            <a:latin typeface="+mj-lt"/>
          </a:endParaRPr>
        </a:p>
      </xdr:txBody>
    </xdr:sp>
    <xdr:clientData/>
  </xdr:oneCellAnchor>
  <xdr:twoCellAnchor>
    <xdr:from>
      <xdr:col>0</xdr:col>
      <xdr:colOff>42334</xdr:colOff>
      <xdr:row>33</xdr:row>
      <xdr:rowOff>110067</xdr:rowOff>
    </xdr:from>
    <xdr:to>
      <xdr:col>14</xdr:col>
      <xdr:colOff>161925</xdr:colOff>
      <xdr:row>49</xdr:row>
      <xdr:rowOff>0</xdr:rowOff>
    </xdr:to>
    <xdr:sp macro="" textlink="">
      <xdr:nvSpPr>
        <xdr:cNvPr id="21" name="Rounded Rectangle 20"/>
        <xdr:cNvSpPr/>
      </xdr:nvSpPr>
      <xdr:spPr>
        <a:xfrm>
          <a:off x="42334" y="6082242"/>
          <a:ext cx="9720791" cy="2785533"/>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506940</xdr:colOff>
      <xdr:row>34</xdr:row>
      <xdr:rowOff>33072</xdr:rowOff>
    </xdr:from>
    <xdr:ext cx="9104843" cy="357790"/>
    <xdr:sp macro="" textlink="">
      <xdr:nvSpPr>
        <xdr:cNvPr id="22" name="TextBox 21"/>
        <xdr:cNvSpPr txBox="1"/>
      </xdr:nvSpPr>
      <xdr:spPr>
        <a:xfrm flipH="1">
          <a:off x="506940" y="6105260"/>
          <a:ext cx="910484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a:solidFill>
                <a:schemeClr val="bg1"/>
              </a:solidFill>
              <a:latin typeface="+mj-lt"/>
            </a:rPr>
            <a:t>Overall</a:t>
          </a:r>
          <a:r>
            <a:rPr lang="en-US" sz="1800" b="1" baseline="0">
              <a:solidFill>
                <a:schemeClr val="bg1"/>
              </a:solidFill>
              <a:latin typeface="+mj-lt"/>
            </a:rPr>
            <a:t> Comparision By Recruiters</a:t>
          </a:r>
          <a:endParaRPr lang="en-US" sz="1800" b="1">
            <a:solidFill>
              <a:schemeClr val="bg1"/>
            </a:solidFill>
            <a:latin typeface="+mj-lt"/>
          </a:endParaRPr>
        </a:p>
      </xdr:txBody>
    </xdr:sp>
    <xdr:clientData/>
  </xdr:oneCellAnchor>
  <xdr:twoCellAnchor>
    <xdr:from>
      <xdr:col>0</xdr:col>
      <xdr:colOff>140496</xdr:colOff>
      <xdr:row>36</xdr:row>
      <xdr:rowOff>116681</xdr:rowOff>
    </xdr:from>
    <xdr:to>
      <xdr:col>14</xdr:col>
      <xdr:colOff>85725</xdr:colOff>
      <xdr:row>49</xdr:row>
      <xdr:rowOff>164306</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13</xdr:col>
      <xdr:colOff>631823</xdr:colOff>
      <xdr:row>7</xdr:row>
      <xdr:rowOff>47890</xdr:rowOff>
    </xdr:from>
    <xdr:ext cx="4448176" cy="269369"/>
    <xdr:sp macro="" textlink="">
      <xdr:nvSpPr>
        <xdr:cNvPr id="24" name="TextBox 23"/>
        <xdr:cNvSpPr txBox="1"/>
      </xdr:nvSpPr>
      <xdr:spPr>
        <a:xfrm flipH="1">
          <a:off x="9574740" y="1307307"/>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Contacted To Interviewed By Recruiter</a:t>
          </a:r>
          <a:endParaRPr lang="en-US" sz="1200" b="1">
            <a:solidFill>
              <a:schemeClr val="bg1"/>
            </a:solidFill>
            <a:latin typeface="+mj-lt"/>
          </a:endParaRPr>
        </a:p>
      </xdr:txBody>
    </xdr:sp>
    <xdr:clientData/>
  </xdr:oneCellAnchor>
  <xdr:oneCellAnchor>
    <xdr:from>
      <xdr:col>0</xdr:col>
      <xdr:colOff>0</xdr:colOff>
      <xdr:row>20</xdr:row>
      <xdr:rowOff>130176</xdr:rowOff>
    </xdr:from>
    <xdr:ext cx="4448176" cy="269369"/>
    <xdr:sp macro="" textlink="">
      <xdr:nvSpPr>
        <xdr:cNvPr id="25" name="TextBox 24"/>
        <xdr:cNvSpPr txBox="1"/>
      </xdr:nvSpPr>
      <xdr:spPr>
        <a:xfrm flipH="1">
          <a:off x="0" y="3728509"/>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Interviewed To Selected By Recruiter</a:t>
          </a:r>
          <a:endParaRPr lang="en-US" sz="1200" b="1">
            <a:solidFill>
              <a:schemeClr val="bg1"/>
            </a:solidFill>
            <a:latin typeface="+mj-lt"/>
          </a:endParaRPr>
        </a:p>
      </xdr:txBody>
    </xdr:sp>
    <xdr:clientData/>
  </xdr:oneCellAnchor>
  <xdr:oneCellAnchor>
    <xdr:from>
      <xdr:col>14</xdr:col>
      <xdr:colOff>79374</xdr:colOff>
      <xdr:row>20</xdr:row>
      <xdr:rowOff>81493</xdr:rowOff>
    </xdr:from>
    <xdr:ext cx="4448176" cy="269369"/>
    <xdr:sp macro="" textlink="">
      <xdr:nvSpPr>
        <xdr:cNvPr id="26" name="TextBox 25"/>
        <xdr:cNvSpPr txBox="1"/>
      </xdr:nvSpPr>
      <xdr:spPr>
        <a:xfrm flipH="1">
          <a:off x="9710207" y="3679826"/>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Selected To Hired By Recruiter</a:t>
          </a:r>
          <a:endParaRPr lang="en-US" sz="1200" b="1">
            <a:solidFill>
              <a:schemeClr val="bg1"/>
            </a:solidFill>
            <a:latin typeface="+mj-lt"/>
          </a:endParaRPr>
        </a:p>
      </xdr:txBody>
    </xdr:sp>
    <xdr:clientData/>
  </xdr:oneCellAnchor>
  <xdr:oneCellAnchor>
    <xdr:from>
      <xdr:col>7</xdr:col>
      <xdr:colOff>62440</xdr:colOff>
      <xdr:row>20</xdr:row>
      <xdr:rowOff>106893</xdr:rowOff>
    </xdr:from>
    <xdr:ext cx="4448176" cy="269369"/>
    <xdr:sp macro="" textlink="">
      <xdr:nvSpPr>
        <xdr:cNvPr id="27" name="TextBox 26"/>
        <xdr:cNvSpPr txBox="1"/>
      </xdr:nvSpPr>
      <xdr:spPr>
        <a:xfrm flipH="1">
          <a:off x="4877857" y="3705226"/>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Interviewed To Rejected By Recruiter</a:t>
          </a:r>
          <a:endParaRPr lang="en-US" sz="1200" b="1">
            <a:solidFill>
              <a:schemeClr val="bg1"/>
            </a:solidFill>
            <a:latin typeface="+mj-lt"/>
          </a:endParaRPr>
        </a:p>
      </xdr:txBody>
    </xdr:sp>
    <xdr:clientData/>
  </xdr:oneCellAnchor>
  <xdr:twoCellAnchor>
    <xdr:from>
      <xdr:col>14</xdr:col>
      <xdr:colOff>239712</xdr:colOff>
      <xdr:row>33</xdr:row>
      <xdr:rowOff>88901</xdr:rowOff>
    </xdr:from>
    <xdr:to>
      <xdr:col>21</xdr:col>
      <xdr:colOff>276225</xdr:colOff>
      <xdr:row>49</xdr:row>
      <xdr:rowOff>63500</xdr:rowOff>
    </xdr:to>
    <xdr:sp macro="" textlink="">
      <xdr:nvSpPr>
        <xdr:cNvPr id="28" name="Rounded Rectangle 27"/>
        <xdr:cNvSpPr/>
      </xdr:nvSpPr>
      <xdr:spPr>
        <a:xfrm>
          <a:off x="9796462" y="5851526"/>
          <a:ext cx="4814888" cy="2768599"/>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266700</xdr:colOff>
      <xdr:row>8</xdr:row>
      <xdr:rowOff>133350</xdr:rowOff>
    </xdr:from>
    <xdr:to>
      <xdr:col>21</xdr:col>
      <xdr:colOff>38100</xdr:colOff>
      <xdr:row>19</xdr:row>
      <xdr:rowOff>148166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219076</xdr:colOff>
      <xdr:row>22</xdr:row>
      <xdr:rowOff>10583</xdr:rowOff>
    </xdr:from>
    <xdr:to>
      <xdr:col>6</xdr:col>
      <xdr:colOff>518583</xdr:colOff>
      <xdr:row>32</xdr:row>
      <xdr:rowOff>127000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197909</xdr:colOff>
      <xdr:row>22</xdr:row>
      <xdr:rowOff>52916</xdr:rowOff>
    </xdr:from>
    <xdr:to>
      <xdr:col>14</xdr:col>
      <xdr:colOff>0</xdr:colOff>
      <xdr:row>33</xdr:row>
      <xdr:rowOff>39158</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438150</xdr:colOff>
      <xdr:row>21</xdr:row>
      <xdr:rowOff>105833</xdr:rowOff>
    </xdr:from>
    <xdr:to>
      <xdr:col>21</xdr:col>
      <xdr:colOff>104774</xdr:colOff>
      <xdr:row>32</xdr:row>
      <xdr:rowOff>104775</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275166</xdr:colOff>
      <xdr:row>2</xdr:row>
      <xdr:rowOff>130968</xdr:rowOff>
    </xdr:from>
    <xdr:to>
      <xdr:col>12</xdr:col>
      <xdr:colOff>95250</xdr:colOff>
      <xdr:row>7</xdr:row>
      <xdr:rowOff>95250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342900</xdr:colOff>
      <xdr:row>0</xdr:row>
      <xdr:rowOff>86784</xdr:rowOff>
    </xdr:from>
    <xdr:to>
      <xdr:col>24</xdr:col>
      <xdr:colOff>107950</xdr:colOff>
      <xdr:row>11</xdr:row>
      <xdr:rowOff>171450</xdr:rowOff>
    </xdr:to>
    <mc:AlternateContent xmlns:mc="http://schemas.openxmlformats.org/markup-compatibility/2006" xmlns:a14="http://schemas.microsoft.com/office/drawing/2010/main">
      <mc:Choice Requires="a14">
        <xdr:graphicFrame macro="">
          <xdr:nvGraphicFramePr>
            <xdr:cNvPr id="44" name="Source"/>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14844713" y="86784"/>
              <a:ext cx="1836737" cy="2049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365126</xdr:colOff>
      <xdr:row>12</xdr:row>
      <xdr:rowOff>83608</xdr:rowOff>
    </xdr:from>
    <xdr:to>
      <xdr:col>24</xdr:col>
      <xdr:colOff>130176</xdr:colOff>
      <xdr:row>23</xdr:row>
      <xdr:rowOff>123824</xdr:rowOff>
    </xdr:to>
    <mc:AlternateContent xmlns:mc="http://schemas.openxmlformats.org/markup-compatibility/2006" xmlns:a14="http://schemas.microsoft.com/office/drawing/2010/main">
      <mc:Choice Requires="a14">
        <xdr:graphicFrame macro="">
          <xdr:nvGraphicFramePr>
            <xdr:cNvPr id="45" name="Job Title"/>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14866939" y="2226733"/>
              <a:ext cx="1836737" cy="2004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378884</xdr:colOff>
      <xdr:row>24</xdr:row>
      <xdr:rowOff>45509</xdr:rowOff>
    </xdr:from>
    <xdr:to>
      <xdr:col>24</xdr:col>
      <xdr:colOff>143934</xdr:colOff>
      <xdr:row>36</xdr:row>
      <xdr:rowOff>161925</xdr:rowOff>
    </xdr:to>
    <mc:AlternateContent xmlns:mc="http://schemas.openxmlformats.org/markup-compatibility/2006" xmlns:a14="http://schemas.microsoft.com/office/drawing/2010/main">
      <mc:Choice Requires="a14">
        <xdr:graphicFrame macro="">
          <xdr:nvGraphicFramePr>
            <xdr:cNvPr id="46" name="Recruiter Name"/>
            <xdr:cNvGraphicFramePr/>
          </xdr:nvGraphicFramePr>
          <xdr:xfrm>
            <a:off x="0" y="0"/>
            <a:ext cx="0" cy="0"/>
          </xdr:xfrm>
          <a:graphic>
            <a:graphicData uri="http://schemas.microsoft.com/office/drawing/2010/slicer">
              <sle:slicer xmlns:sle="http://schemas.microsoft.com/office/drawing/2010/slicer" name="Recruiter Name"/>
            </a:graphicData>
          </a:graphic>
        </xdr:graphicFrame>
      </mc:Choice>
      <mc:Fallback xmlns="">
        <xdr:sp macro="" textlink="">
          <xdr:nvSpPr>
            <xdr:cNvPr id="0" name=""/>
            <xdr:cNvSpPr>
              <a:spLocks noTextEdit="1"/>
            </xdr:cNvSpPr>
          </xdr:nvSpPr>
          <xdr:spPr>
            <a:xfrm>
              <a:off x="14880697" y="4331759"/>
              <a:ext cx="1836737" cy="2259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371475</xdr:colOff>
      <xdr:row>37</xdr:row>
      <xdr:rowOff>84666</xdr:rowOff>
    </xdr:from>
    <xdr:to>
      <xdr:col>24</xdr:col>
      <xdr:colOff>73025</xdr:colOff>
      <xdr:row>48</xdr:row>
      <xdr:rowOff>66675</xdr:rowOff>
    </xdr:to>
    <mc:AlternateContent xmlns:mc="http://schemas.openxmlformats.org/markup-compatibility/2006" xmlns:a14="http://schemas.microsoft.com/office/drawing/2010/main">
      <mc:Choice Requires="a14">
        <xdr:graphicFrame macro="">
          <xdr:nvGraphicFramePr>
            <xdr:cNvPr id="47" name="Opening Month"/>
            <xdr:cNvGraphicFramePr/>
          </xdr:nvGraphicFramePr>
          <xdr:xfrm>
            <a:off x="0" y="0"/>
            <a:ext cx="0" cy="0"/>
          </xdr:xfrm>
          <a:graphic>
            <a:graphicData uri="http://schemas.microsoft.com/office/drawing/2010/slicer">
              <sle:slicer xmlns:sle="http://schemas.microsoft.com/office/drawing/2010/slicer" name="Opening Month"/>
            </a:graphicData>
          </a:graphic>
        </xdr:graphicFrame>
      </mc:Choice>
      <mc:Fallback xmlns="">
        <xdr:sp macro="" textlink="">
          <xdr:nvSpPr>
            <xdr:cNvPr id="0" name=""/>
            <xdr:cNvSpPr>
              <a:spLocks noTextEdit="1"/>
            </xdr:cNvSpPr>
          </xdr:nvSpPr>
          <xdr:spPr>
            <a:xfrm>
              <a:off x="14873288" y="6692635"/>
              <a:ext cx="1773237" cy="1946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263524</xdr:colOff>
      <xdr:row>33</xdr:row>
      <xdr:rowOff>159810</xdr:rowOff>
    </xdr:from>
    <xdr:ext cx="4448176" cy="269369"/>
    <xdr:sp macro="" textlink="">
      <xdr:nvSpPr>
        <xdr:cNvPr id="48" name="TextBox 47"/>
        <xdr:cNvSpPr txBox="1"/>
      </xdr:nvSpPr>
      <xdr:spPr>
        <a:xfrm flipH="1">
          <a:off x="9894357" y="6097060"/>
          <a:ext cx="4448176"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Process Duration By Recruiters</a:t>
          </a:r>
          <a:endParaRPr lang="en-US" sz="1200" b="1">
            <a:solidFill>
              <a:schemeClr val="bg1"/>
            </a:solidFill>
            <a:latin typeface="+mj-lt"/>
          </a:endParaRPr>
        </a:p>
      </xdr:txBody>
    </xdr:sp>
    <xdr:clientData/>
  </xdr:oneCellAnchor>
  <xdr:twoCellAnchor>
    <xdr:from>
      <xdr:col>4</xdr:col>
      <xdr:colOff>484451</xdr:colOff>
      <xdr:row>0</xdr:row>
      <xdr:rowOff>93134</xdr:rowOff>
    </xdr:from>
    <xdr:to>
      <xdr:col>21</xdr:col>
      <xdr:colOff>179918</xdr:colOff>
      <xdr:row>10</xdr:row>
      <xdr:rowOff>58367</xdr:rowOff>
    </xdr:to>
    <xdr:grpSp>
      <xdr:nvGrpSpPr>
        <xdr:cNvPr id="6" name="Group 5"/>
        <xdr:cNvGrpSpPr/>
      </xdr:nvGrpSpPr>
      <xdr:grpSpPr>
        <a:xfrm>
          <a:off x="3246701" y="93134"/>
          <a:ext cx="11435030" cy="1751171"/>
          <a:chOff x="3246701" y="93134"/>
          <a:chExt cx="11435030" cy="1751171"/>
        </a:xfrm>
      </xdr:grpSpPr>
      <xdr:sp macro="" textlink="">
        <xdr:nvSpPr>
          <xdr:cNvPr id="11" name="TextBox 10"/>
          <xdr:cNvSpPr txBox="1"/>
        </xdr:nvSpPr>
        <xdr:spPr>
          <a:xfrm flipH="1">
            <a:off x="3305174" y="119063"/>
            <a:ext cx="1695451"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bg1"/>
                </a:solidFill>
                <a:latin typeface="+mj-lt"/>
              </a:rPr>
              <a:t>Total</a:t>
            </a:r>
            <a:r>
              <a:rPr lang="en-US" sz="1200" b="1" baseline="0">
                <a:solidFill>
                  <a:schemeClr val="bg1"/>
                </a:solidFill>
                <a:latin typeface="+mj-lt"/>
              </a:rPr>
              <a:t> Application To Shortlisted %</a:t>
            </a:r>
            <a:endParaRPr lang="en-US" sz="1200" b="1">
              <a:solidFill>
                <a:schemeClr val="bg1"/>
              </a:solidFill>
              <a:latin typeface="+mj-lt"/>
            </a:endParaRPr>
          </a:p>
        </xdr:txBody>
      </xdr:sp>
      <xdr:sp macro="" textlink="">
        <xdr:nvSpPr>
          <xdr:cNvPr id="33" name="TextBox 32"/>
          <xdr:cNvSpPr txBox="1"/>
        </xdr:nvSpPr>
        <xdr:spPr>
          <a:xfrm flipH="1">
            <a:off x="4830760" y="111390"/>
            <a:ext cx="1695451"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 Shortlisted To Contacted %</a:t>
            </a:r>
            <a:endParaRPr lang="en-US" sz="1200" b="1">
              <a:solidFill>
                <a:schemeClr val="bg1"/>
              </a:solidFill>
              <a:latin typeface="+mj-lt"/>
            </a:endParaRPr>
          </a:p>
        </xdr:txBody>
      </xdr:sp>
      <xdr:sp macro="" textlink="">
        <xdr:nvSpPr>
          <xdr:cNvPr id="34" name="TextBox 33"/>
          <xdr:cNvSpPr txBox="1"/>
        </xdr:nvSpPr>
        <xdr:spPr>
          <a:xfrm flipH="1">
            <a:off x="6303430" y="93134"/>
            <a:ext cx="1695451"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Contacted To Interviewed%</a:t>
            </a:r>
            <a:endParaRPr lang="en-US" sz="1200" b="1">
              <a:solidFill>
                <a:schemeClr val="bg1"/>
              </a:solidFill>
              <a:latin typeface="+mj-lt"/>
            </a:endParaRPr>
          </a:p>
        </xdr:txBody>
      </xdr:sp>
      <xdr:sp macro="" textlink="">
        <xdr:nvSpPr>
          <xdr:cNvPr id="35" name="TextBox 34"/>
          <xdr:cNvSpPr txBox="1"/>
        </xdr:nvSpPr>
        <xdr:spPr>
          <a:xfrm flipH="1">
            <a:off x="7806530" y="97366"/>
            <a:ext cx="1695451"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Interviewed To Selected%</a:t>
            </a:r>
            <a:endParaRPr lang="en-US" sz="1200" b="1">
              <a:solidFill>
                <a:schemeClr val="bg1"/>
              </a:solidFill>
              <a:latin typeface="+mj-lt"/>
            </a:endParaRPr>
          </a:p>
        </xdr:txBody>
      </xdr:sp>
      <xdr:sp macro="" textlink="">
        <xdr:nvSpPr>
          <xdr:cNvPr id="36" name="TextBox 35"/>
          <xdr:cNvSpPr txBox="1"/>
        </xdr:nvSpPr>
        <xdr:spPr>
          <a:xfrm flipH="1">
            <a:off x="9288460" y="101600"/>
            <a:ext cx="1695451"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Interviewed To Rejected %</a:t>
            </a:r>
            <a:endParaRPr lang="en-US" sz="1200" b="1">
              <a:solidFill>
                <a:schemeClr val="bg1"/>
              </a:solidFill>
              <a:latin typeface="+mj-lt"/>
            </a:endParaRPr>
          </a:p>
        </xdr:txBody>
      </xdr:sp>
      <xdr:sp macro="" textlink="">
        <xdr:nvSpPr>
          <xdr:cNvPr id="37" name="TextBox 36"/>
          <xdr:cNvSpPr txBox="1"/>
        </xdr:nvSpPr>
        <xdr:spPr>
          <a:xfrm flipH="1">
            <a:off x="10810077" y="120385"/>
            <a:ext cx="1356786" cy="446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baseline="0">
                <a:solidFill>
                  <a:schemeClr val="bg1"/>
                </a:solidFill>
                <a:latin typeface="+mj-lt"/>
              </a:rPr>
              <a:t>SelectedTo Hired %</a:t>
            </a:r>
            <a:endParaRPr lang="en-US" sz="1200" b="1">
              <a:solidFill>
                <a:schemeClr val="bg1"/>
              </a:solidFill>
              <a:latin typeface="+mj-lt"/>
            </a:endParaRPr>
          </a:p>
        </xdr:txBody>
      </xdr:sp>
      <xdr:sp macro="" textlink="">
        <xdr:nvSpPr>
          <xdr:cNvPr id="5" name="Rounded Rectangle 4"/>
          <xdr:cNvSpPr/>
        </xdr:nvSpPr>
        <xdr:spPr>
          <a:xfrm>
            <a:off x="12303126" y="255323"/>
            <a:ext cx="2145771" cy="703793"/>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xdr:cNvSpPr txBox="1"/>
        </xdr:nvSpPr>
        <xdr:spPr>
          <a:xfrm flipH="1">
            <a:off x="12046481" y="308240"/>
            <a:ext cx="2635250"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baseline="0">
                <a:solidFill>
                  <a:schemeClr val="tx1"/>
                </a:solidFill>
                <a:latin typeface="+mj-lt"/>
              </a:rPr>
              <a:t>Job Role</a:t>
            </a:r>
          </a:p>
          <a:p>
            <a:pPr algn="ctr"/>
            <a:r>
              <a:rPr lang="en-US" sz="1800" b="1" baseline="0">
                <a:solidFill>
                  <a:schemeClr val="tx1"/>
                </a:solidFill>
                <a:latin typeface="+mj-lt"/>
              </a:rPr>
              <a:t>KPIs</a:t>
            </a:r>
            <a:endParaRPr lang="en-US" sz="1800" b="1">
              <a:solidFill>
                <a:schemeClr val="tx1"/>
              </a:solidFill>
              <a:latin typeface="+mj-lt"/>
            </a:endParaRPr>
          </a:p>
        </xdr:txBody>
      </xdr:sp>
      <xdr:graphicFrame macro="">
        <xdr:nvGraphicFramePr>
          <xdr:cNvPr id="58" name="Chart 57"/>
          <xdr:cNvGraphicFramePr>
            <a:graphicFrameLocks/>
          </xdr:cNvGraphicFramePr>
        </xdr:nvGraphicFramePr>
        <xdr:xfrm>
          <a:off x="7893843" y="595311"/>
          <a:ext cx="1690688" cy="1238251"/>
        </xdr:xfrm>
        <a:graphic>
          <a:graphicData uri="http://schemas.openxmlformats.org/drawingml/2006/chart">
            <c:chart xmlns:c="http://schemas.openxmlformats.org/drawingml/2006/chart" xmlns:r="http://schemas.openxmlformats.org/officeDocument/2006/relationships" r:id="rId9"/>
          </a:graphicData>
        </a:graphic>
      </xdr:graphicFrame>
      <xdr:sp macro="" textlink="'Pivot Table'!J35">
        <xdr:nvSpPr>
          <xdr:cNvPr id="59" name="TextBox 58"/>
          <xdr:cNvSpPr txBox="1"/>
        </xdr:nvSpPr>
        <xdr:spPr>
          <a:xfrm flipH="1">
            <a:off x="8363742" y="916515"/>
            <a:ext cx="7088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C05D77C-CC5A-4FA4-BC74-3C5DF90DA9F3}" type="TxLink">
              <a:rPr lang="en-US" sz="1600" b="1" i="0" u="none" strike="noStrike" baseline="0">
                <a:solidFill>
                  <a:schemeClr val="bg1"/>
                </a:solidFill>
                <a:latin typeface="Calibri" panose="020F0502020204030204" pitchFamily="34" charset="0"/>
                <a:cs typeface="Calibri" panose="020F0502020204030204" pitchFamily="34" charset="0"/>
              </a:rPr>
              <a:pPr algn="ctr"/>
              <a:t>40%</a:t>
            </a:fld>
            <a:endParaRPr lang="en-US" sz="1600" b="1">
              <a:solidFill>
                <a:schemeClr val="bg1"/>
              </a:solidFill>
              <a:latin typeface="Calibri" panose="020F0502020204030204" pitchFamily="34" charset="0"/>
              <a:cs typeface="Calibri" panose="020F0502020204030204" pitchFamily="34" charset="0"/>
            </a:endParaRPr>
          </a:p>
        </xdr:txBody>
      </xdr:sp>
      <xdr:graphicFrame macro="">
        <xdr:nvGraphicFramePr>
          <xdr:cNvPr id="60" name="Chart 59"/>
          <xdr:cNvGraphicFramePr>
            <a:graphicFrameLocks/>
          </xdr:cNvGraphicFramePr>
        </xdr:nvGraphicFramePr>
        <xdr:xfrm>
          <a:off x="6330420" y="586052"/>
          <a:ext cx="1691640" cy="1234440"/>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J29">
        <xdr:nvSpPr>
          <xdr:cNvPr id="61" name="TextBox 60"/>
          <xdr:cNvSpPr txBox="1"/>
        </xdr:nvSpPr>
        <xdr:spPr>
          <a:xfrm flipH="1">
            <a:off x="6839741" y="916516"/>
            <a:ext cx="70882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DF6D914-7C62-48C9-AF40-351209BDF4FA}" type="TxLink">
              <a:rPr lang="en-US" sz="1600" b="1" i="0" u="none" strike="noStrike" baseline="0">
                <a:solidFill>
                  <a:schemeClr val="bg1"/>
                </a:solidFill>
                <a:latin typeface="Calibri" panose="020F0502020204030204" pitchFamily="34" charset="0"/>
                <a:cs typeface="Calibri" panose="020F0502020204030204" pitchFamily="34" charset="0"/>
              </a:rPr>
              <a:pPr algn="ctr"/>
              <a:t>78%</a:t>
            </a:fld>
            <a:endParaRPr lang="en-US" sz="1600" b="1">
              <a:solidFill>
                <a:schemeClr val="bg1"/>
              </a:solidFill>
              <a:latin typeface="Calibri" panose="020F0502020204030204" pitchFamily="34" charset="0"/>
              <a:cs typeface="Calibri" panose="020F0502020204030204" pitchFamily="34" charset="0"/>
            </a:endParaRPr>
          </a:p>
        </xdr:txBody>
      </xdr:sp>
      <xdr:graphicFrame macro="">
        <xdr:nvGraphicFramePr>
          <xdr:cNvPr id="62" name="Chart 61"/>
          <xdr:cNvGraphicFramePr>
            <a:graphicFrameLocks/>
          </xdr:cNvGraphicFramePr>
        </xdr:nvGraphicFramePr>
        <xdr:xfrm>
          <a:off x="3246701" y="562239"/>
          <a:ext cx="1691640" cy="1234440"/>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C12">
        <xdr:nvSpPr>
          <xdr:cNvPr id="63" name="TextBox 62"/>
          <xdr:cNvSpPr txBox="1"/>
        </xdr:nvSpPr>
        <xdr:spPr>
          <a:xfrm flipH="1">
            <a:off x="3762375" y="902495"/>
            <a:ext cx="6667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082E8DA-98C5-4280-8DBE-8790922F34AB}" type="TxLink">
              <a:rPr lang="en-US" sz="1600" b="1" i="0" u="none" strike="noStrike">
                <a:solidFill>
                  <a:schemeClr val="bg1"/>
                </a:solidFill>
                <a:latin typeface="Calibri" panose="020F0502020204030204" pitchFamily="34" charset="0"/>
                <a:cs typeface="Calibri" panose="020F0502020204030204" pitchFamily="34" charset="0"/>
              </a:rPr>
              <a:pPr algn="ctr"/>
              <a:t>75%</a:t>
            </a:fld>
            <a:endParaRPr lang="en-US" sz="1600" b="1">
              <a:solidFill>
                <a:schemeClr val="bg1"/>
              </a:solidFill>
              <a:latin typeface="Calibri" panose="020F0502020204030204" pitchFamily="34" charset="0"/>
              <a:cs typeface="Calibri" panose="020F0502020204030204" pitchFamily="34" charset="0"/>
            </a:endParaRPr>
          </a:p>
        </xdr:txBody>
      </xdr:sp>
      <xdr:graphicFrame macro="">
        <xdr:nvGraphicFramePr>
          <xdr:cNvPr id="64" name="Chart 63"/>
          <xdr:cNvGraphicFramePr>
            <a:graphicFrameLocks/>
          </xdr:cNvGraphicFramePr>
        </xdr:nvGraphicFramePr>
        <xdr:xfrm>
          <a:off x="9295076" y="609864"/>
          <a:ext cx="1691640" cy="1234440"/>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J42">
        <xdr:nvSpPr>
          <xdr:cNvPr id="65" name="TextBox 64"/>
          <xdr:cNvSpPr txBox="1"/>
        </xdr:nvSpPr>
        <xdr:spPr>
          <a:xfrm flipH="1">
            <a:off x="9462290" y="903817"/>
            <a:ext cx="135678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55F9EB3-D4E9-4FAE-AB50-3623ABA59EAB}" type="TxLink">
              <a:rPr lang="en-US" sz="1600" b="1" i="0" u="none" strike="noStrike" baseline="0">
                <a:solidFill>
                  <a:schemeClr val="bg1"/>
                </a:solidFill>
                <a:latin typeface="Calibri" panose="020F0502020204030204" pitchFamily="34" charset="0"/>
                <a:cs typeface="Calibri" panose="020F0502020204030204" pitchFamily="34" charset="0"/>
              </a:rPr>
              <a:pPr algn="ctr"/>
              <a:t>67%</a:t>
            </a:fld>
            <a:endParaRPr lang="en-US" sz="1600" b="1">
              <a:solidFill>
                <a:schemeClr val="bg1"/>
              </a:solidFill>
              <a:latin typeface="Calibri" panose="020F0502020204030204" pitchFamily="34" charset="0"/>
              <a:cs typeface="Calibri" panose="020F0502020204030204" pitchFamily="34" charset="0"/>
            </a:endParaRPr>
          </a:p>
        </xdr:txBody>
      </xdr:sp>
      <xdr:graphicFrame macro="">
        <xdr:nvGraphicFramePr>
          <xdr:cNvPr id="66" name="Chart 65"/>
          <xdr:cNvGraphicFramePr>
            <a:graphicFrameLocks/>
          </xdr:cNvGraphicFramePr>
        </xdr:nvGraphicFramePr>
        <xdr:xfrm>
          <a:off x="10735731" y="609865"/>
          <a:ext cx="1691640" cy="1234440"/>
        </xdr:xfrm>
        <a:graphic>
          <a:graphicData uri="http://schemas.openxmlformats.org/drawingml/2006/chart">
            <c:chart xmlns:c="http://schemas.openxmlformats.org/drawingml/2006/chart" xmlns:r="http://schemas.openxmlformats.org/officeDocument/2006/relationships" r:id="rId13"/>
          </a:graphicData>
        </a:graphic>
      </xdr:graphicFrame>
      <xdr:sp macro="" textlink="'Pivot Table'!J49">
        <xdr:nvSpPr>
          <xdr:cNvPr id="67" name="TextBox 66"/>
          <xdr:cNvSpPr txBox="1"/>
        </xdr:nvSpPr>
        <xdr:spPr>
          <a:xfrm flipH="1">
            <a:off x="10950571" y="916781"/>
            <a:ext cx="1348585" cy="353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C6B6C71-606D-488E-8266-68E58A6A961B}" type="TxLink">
              <a:rPr lang="en-US" sz="1600" b="1" i="0" u="none" strike="noStrike" baseline="0">
                <a:solidFill>
                  <a:schemeClr val="bg1"/>
                </a:solidFill>
                <a:latin typeface="Calibri" panose="020F0502020204030204" pitchFamily="34" charset="0"/>
                <a:cs typeface="Calibri" panose="020F0502020204030204" pitchFamily="34" charset="0"/>
              </a:rPr>
              <a:pPr algn="ctr"/>
              <a:t>27%</a:t>
            </a:fld>
            <a:endParaRPr lang="en-US" sz="1600" b="1">
              <a:solidFill>
                <a:schemeClr val="bg1"/>
              </a:solidFill>
              <a:latin typeface="Calibri" panose="020F0502020204030204" pitchFamily="34" charset="0"/>
              <a:cs typeface="Calibri" panose="020F0502020204030204" pitchFamily="34" charset="0"/>
            </a:endParaRPr>
          </a:p>
        </xdr:txBody>
      </xdr:sp>
      <xdr:graphicFrame macro="">
        <xdr:nvGraphicFramePr>
          <xdr:cNvPr id="68" name="Chart 67"/>
          <xdr:cNvGraphicFramePr>
            <a:graphicFrameLocks/>
          </xdr:cNvGraphicFramePr>
        </xdr:nvGraphicFramePr>
        <xdr:xfrm>
          <a:off x="4812506" y="588168"/>
          <a:ext cx="1691640" cy="1234440"/>
        </xdr:xfrm>
        <a:graphic>
          <a:graphicData uri="http://schemas.openxmlformats.org/drawingml/2006/chart">
            <c:chart xmlns:c="http://schemas.openxmlformats.org/drawingml/2006/chart" xmlns:r="http://schemas.openxmlformats.org/officeDocument/2006/relationships" r:id="rId14"/>
          </a:graphicData>
        </a:graphic>
      </xdr:graphicFrame>
      <xdr:sp macro="" textlink="'Pivot Table'!J14">
        <xdr:nvSpPr>
          <xdr:cNvPr id="69" name="TextBox 68"/>
          <xdr:cNvSpPr txBox="1"/>
        </xdr:nvSpPr>
        <xdr:spPr>
          <a:xfrm flipH="1">
            <a:off x="5298279" y="906727"/>
            <a:ext cx="66675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442A555-8E4B-4C8D-A8FD-544FDD6FE5C5}" type="TxLink">
              <a:rPr lang="en-US" sz="1600" b="1" i="0" u="none" strike="noStrike" baseline="0">
                <a:solidFill>
                  <a:schemeClr val="bg1"/>
                </a:solidFill>
                <a:latin typeface="Calibri" panose="020F0502020204030204" pitchFamily="34" charset="0"/>
                <a:cs typeface="Calibri" panose="020F0502020204030204" pitchFamily="34" charset="0"/>
              </a:rPr>
              <a:pPr algn="ctr"/>
              <a:t>75%</a:t>
            </a:fld>
            <a:endParaRPr lang="en-US" sz="1600" b="1">
              <a:solidFill>
                <a:schemeClr val="bg1"/>
              </a:solidFill>
              <a:latin typeface="Calibri" panose="020F0502020204030204" pitchFamily="34" charset="0"/>
              <a:cs typeface="Calibri" panose="020F0502020204030204" pitchFamily="34" charset="0"/>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ownloads/Risk-Register-PeopleFinder.od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_Downs"/>
      <sheetName val="Risk_Register"/>
      <sheetName val="Opportunities"/>
    </sheetNames>
    <sheetDataSet>
      <sheetData sheetId="0">
        <row r="2">
          <cell r="A2" t="str">
            <v>Cost</v>
          </cell>
        </row>
        <row r="3">
          <cell r="A3" t="str">
            <v>Performance</v>
          </cell>
        </row>
        <row r="4">
          <cell r="A4" t="str">
            <v>Resources</v>
          </cell>
        </row>
        <row r="5">
          <cell r="A5" t="str">
            <v>Schedule</v>
          </cell>
        </row>
        <row r="6">
          <cell r="A6" t="str">
            <v>Scope</v>
          </cell>
        </row>
        <row r="7">
          <cell r="A7" t="str">
            <v>Security</v>
          </cell>
        </row>
        <row r="8">
          <cell r="A8" t="str">
            <v>Stakeholder Engagement</v>
          </cell>
        </row>
        <row r="9">
          <cell r="A9" t="str">
            <v>Subcontractor</v>
          </cell>
        </row>
        <row r="10">
          <cell r="A10" t="str">
            <v>Technical</v>
          </cell>
        </row>
        <row r="14">
          <cell r="A14" t="str">
            <v>Low</v>
          </cell>
        </row>
        <row r="15">
          <cell r="A15" t="str">
            <v>Medium</v>
          </cell>
        </row>
        <row r="16">
          <cell r="A16" t="str">
            <v>High</v>
          </cell>
        </row>
        <row r="20">
          <cell r="A20" t="str">
            <v>Escalate</v>
          </cell>
        </row>
        <row r="21">
          <cell r="A21" t="str">
            <v>Avoid</v>
          </cell>
        </row>
        <row r="22">
          <cell r="A22" t="str">
            <v>Transfer</v>
          </cell>
        </row>
        <row r="23">
          <cell r="A23" t="str">
            <v>Mitigate</v>
          </cell>
        </row>
        <row r="24">
          <cell r="A24" t="str">
            <v>Accept</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EW" refreshedDate="45852.727218402775" createdVersion="5" refreshedVersion="5" minRefreshableVersion="3" recordCount="30">
  <cacheSource type="worksheet">
    <worksheetSource name="Table1"/>
  </cacheSource>
  <cacheFields count="20">
    <cacheField name="Job Opening Date" numFmtId="14">
      <sharedItems containsSemiMixedTypes="0" containsNonDate="0" containsDate="1" containsString="0" minDate="2025-05-09T00:00:00" maxDate="2025-07-08T00:00:00"/>
    </cacheField>
    <cacheField name="Recruiter Name" numFmtId="0">
      <sharedItems count="5">
        <s v="John Doe"/>
        <s v="Nina Patel"/>
        <s v="Maria Garcia"/>
        <s v="Alice Smith"/>
        <s v="Tom Lee"/>
      </sharedItems>
    </cacheField>
    <cacheField name="Job Title" numFmtId="0">
      <sharedItems count="5">
        <s v="Data Analyst"/>
        <s v="Backend Developer"/>
        <s v="Frontend Developer"/>
        <s v="DevOps Engineer"/>
        <s v="Software Engineer"/>
      </sharedItems>
    </cacheField>
    <cacheField name="Source" numFmtId="0">
      <sharedItems count="5">
        <s v="GitHub"/>
        <s v="Stack Overflow"/>
        <s v="Indeed"/>
        <s v="Referral"/>
        <s v="LinkedIn"/>
      </sharedItems>
    </cacheField>
    <cacheField name="Total Applications" numFmtId="0">
      <sharedItems containsSemiMixedTypes="0" containsString="0" containsNumber="1" containsInteger="1" minValue="100" maxValue="149"/>
    </cacheField>
    <cacheField name="Total Shortlisted" numFmtId="0">
      <sharedItems containsSemiMixedTypes="0" containsString="0" containsNumber="1" containsInteger="1" minValue="83" maxValue="100"/>
    </cacheField>
    <cacheField name="Total Contacted" numFmtId="0">
      <sharedItems containsSemiMixedTypes="0" containsString="0" containsNumber="1" containsInteger="1" minValue="60" maxValue="79"/>
    </cacheField>
    <cacheField name="Total Interviewed" numFmtId="0">
      <sharedItems containsSemiMixedTypes="0" containsString="0" containsNumber="1" containsInteger="1" minValue="42" maxValue="65"/>
    </cacheField>
    <cacheField name="Total Rejected" numFmtId="0">
      <sharedItems containsSemiMixedTypes="0" containsString="0" containsNumber="1" containsInteger="1" minValue="30" maxValue="40"/>
    </cacheField>
    <cacheField name="Total Selected" numFmtId="0">
      <sharedItems containsSemiMixedTypes="0" containsString="0" containsNumber="1" containsInteger="1" minValue="10" maxValue="30"/>
    </cacheField>
    <cacheField name="Total Hired" numFmtId="0">
      <sharedItems containsSemiMixedTypes="0" containsString="0" containsNumber="1" containsInteger="1" minValue="1" maxValue="10"/>
    </cacheField>
    <cacheField name="Final Joining Date" numFmtId="14">
      <sharedItems containsSemiMixedTypes="0" containsNonDate="0" containsDate="1" containsString="0" minDate="2025-06-12T00:00:00" maxDate="2025-08-11T00:00:00"/>
    </cacheField>
    <cacheField name="Process Duration" numFmtId="0">
      <sharedItems containsSemiMixedTypes="0" containsString="0" containsNumber="1" containsInteger="1" minValue="30" maxValue="40"/>
    </cacheField>
    <cacheField name="Application To Shortlisted%" numFmtId="9">
      <sharedItems containsSemiMixedTypes="0" containsString="0" containsNumber="1" minValue="0.58783783783783783" maxValue="0.95"/>
    </cacheField>
    <cacheField name=" Shortlisted  to Contacted %" numFmtId="9">
      <sharedItems containsSemiMixedTypes="0" containsString="0" containsNumber="1" minValue="0.62886597938144329" maxValue="0.92941176470588238"/>
    </cacheField>
    <cacheField name="Contacted to Interviewd %" numFmtId="9">
      <sharedItems containsSemiMixedTypes="0" containsString="0" containsNumber="1" minValue="0.55844155844155841" maxValue="1"/>
    </cacheField>
    <cacheField name="Interviewed To Rejected" numFmtId="9">
      <sharedItems containsSemiMixedTypes="0" containsString="0" containsNumber="1" minValue="0.49206349206349204" maxValue="0.8666666666666667"/>
    </cacheField>
    <cacheField name="Interviewed To Selected" numFmtId="9">
      <sharedItems containsSemiMixedTypes="0" containsString="0" containsNumber="1" minValue="0.15625" maxValue="0.69767441860465118"/>
    </cacheField>
    <cacheField name="Selected To Hired" numFmtId="9">
      <sharedItems containsSemiMixedTypes="0" containsString="0" containsNumber="1" minValue="3.3333333333333333E-2" maxValue="1"/>
    </cacheField>
    <cacheField name="Opening Month" numFmtId="9">
      <sharedItems count="3">
        <s v="Jun"/>
        <s v="May"/>
        <s v="Jul"/>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
  <r>
    <d v="2025-06-11T00:00:00"/>
    <x v="0"/>
    <x v="0"/>
    <x v="0"/>
    <n v="149"/>
    <n v="96"/>
    <n v="63"/>
    <n v="63"/>
    <n v="40"/>
    <n v="24"/>
    <n v="4"/>
    <d v="2025-07-21T00:00:00"/>
    <n v="40"/>
    <n v="0.64429530201342278"/>
    <n v="0.65625"/>
    <n v="1"/>
    <n v="0.63492063492063489"/>
    <n v="0.38095238095238093"/>
    <n v="0.16666666666666666"/>
    <x v="0"/>
  </r>
  <r>
    <d v="2025-05-16T00:00:00"/>
    <x v="1"/>
    <x v="1"/>
    <x v="1"/>
    <n v="116"/>
    <n v="88"/>
    <n v="63"/>
    <n v="61"/>
    <n v="33"/>
    <n v="23"/>
    <n v="10"/>
    <d v="2025-06-18T00:00:00"/>
    <n v="33"/>
    <n v="0.75862068965517238"/>
    <n v="0.71590909090909094"/>
    <n v="0.96825396825396826"/>
    <n v="0.54098360655737709"/>
    <n v="0.37704918032786883"/>
    <n v="0.43478260869565216"/>
    <x v="1"/>
  </r>
  <r>
    <d v="2025-05-22T00:00:00"/>
    <x v="1"/>
    <x v="0"/>
    <x v="2"/>
    <n v="112"/>
    <n v="100"/>
    <n v="75"/>
    <n v="48"/>
    <n v="33"/>
    <n v="10"/>
    <n v="3"/>
    <d v="2025-06-24T00:00:00"/>
    <n v="33"/>
    <n v="0.8928571428571429"/>
    <n v="0.75"/>
    <n v="0.64"/>
    <n v="0.6875"/>
    <n v="0.20833333333333334"/>
    <n v="0.3"/>
    <x v="1"/>
  </r>
  <r>
    <d v="2025-05-25T00:00:00"/>
    <x v="2"/>
    <x v="1"/>
    <x v="1"/>
    <n v="118"/>
    <n v="83"/>
    <n v="75"/>
    <n v="46"/>
    <n v="34"/>
    <n v="26"/>
    <n v="7"/>
    <d v="2025-06-28T00:00:00"/>
    <n v="34"/>
    <n v="0.70338983050847459"/>
    <n v="0.90361445783132532"/>
    <n v="0.61333333333333329"/>
    <n v="0.73913043478260865"/>
    <n v="0.56521739130434778"/>
    <n v="0.26923076923076922"/>
    <x v="1"/>
  </r>
  <r>
    <d v="2025-06-18T00:00:00"/>
    <x v="2"/>
    <x v="2"/>
    <x v="1"/>
    <n v="107"/>
    <n v="84"/>
    <n v="73"/>
    <n v="52"/>
    <n v="32"/>
    <n v="29"/>
    <n v="4"/>
    <d v="2025-07-20T00:00:00"/>
    <n v="32"/>
    <n v="0.78504672897196259"/>
    <n v="0.86904761904761907"/>
    <n v="0.71232876712328763"/>
    <n v="0.61538461538461542"/>
    <n v="0.55769230769230771"/>
    <n v="0.13793103448275862"/>
    <x v="0"/>
  </r>
  <r>
    <d v="2025-06-10T00:00:00"/>
    <x v="3"/>
    <x v="3"/>
    <x v="3"/>
    <n v="138"/>
    <n v="88"/>
    <n v="65"/>
    <n v="52"/>
    <n v="40"/>
    <n v="10"/>
    <n v="5"/>
    <d v="2025-07-20T00:00:00"/>
    <n v="40"/>
    <n v="0.6376811594202898"/>
    <n v="0.73863636363636365"/>
    <n v="0.8"/>
    <n v="0.76923076923076927"/>
    <n v="0.19230769230769232"/>
    <n v="0.5"/>
    <x v="0"/>
  </r>
  <r>
    <d v="2025-06-06T00:00:00"/>
    <x v="2"/>
    <x v="1"/>
    <x v="0"/>
    <n v="145"/>
    <n v="96"/>
    <n v="63"/>
    <n v="44"/>
    <n v="38"/>
    <n v="22"/>
    <n v="3"/>
    <d v="2025-07-14T00:00:00"/>
    <n v="38"/>
    <n v="0.66206896551724137"/>
    <n v="0.65625"/>
    <n v="0.69841269841269837"/>
    <n v="0.86363636363636365"/>
    <n v="0.5"/>
    <n v="0.13636363636363635"/>
    <x v="0"/>
  </r>
  <r>
    <d v="2025-06-20T00:00:00"/>
    <x v="4"/>
    <x v="4"/>
    <x v="0"/>
    <n v="140"/>
    <n v="83"/>
    <n v="65"/>
    <n v="63"/>
    <n v="31"/>
    <n v="30"/>
    <n v="1"/>
    <d v="2025-07-21T00:00:00"/>
    <n v="31"/>
    <n v="0.59285714285714286"/>
    <n v="0.7831325301204819"/>
    <n v="0.96923076923076923"/>
    <n v="0.49206349206349204"/>
    <n v="0.47619047619047616"/>
    <n v="3.3333333333333333E-2"/>
    <x v="0"/>
  </r>
  <r>
    <d v="2025-06-23T00:00:00"/>
    <x v="1"/>
    <x v="4"/>
    <x v="1"/>
    <n v="148"/>
    <n v="87"/>
    <n v="67"/>
    <n v="64"/>
    <n v="38"/>
    <n v="24"/>
    <n v="1"/>
    <d v="2025-07-31T00:00:00"/>
    <n v="38"/>
    <n v="0.58783783783783783"/>
    <n v="0.77011494252873558"/>
    <n v="0.95522388059701491"/>
    <n v="0.59375"/>
    <n v="0.375"/>
    <n v="4.1666666666666664E-2"/>
    <x v="0"/>
  </r>
  <r>
    <d v="2025-07-02T00:00:00"/>
    <x v="2"/>
    <x v="4"/>
    <x v="1"/>
    <n v="118"/>
    <n v="91"/>
    <n v="61"/>
    <n v="56"/>
    <n v="39"/>
    <n v="26"/>
    <n v="8"/>
    <d v="2025-08-10T00:00:00"/>
    <n v="39"/>
    <n v="0.77118644067796616"/>
    <n v="0.67032967032967028"/>
    <n v="0.91803278688524592"/>
    <n v="0.6964285714285714"/>
    <n v="0.4642857142857143"/>
    <n v="0.30769230769230771"/>
    <x v="2"/>
  </r>
  <r>
    <d v="2025-07-07T00:00:00"/>
    <x v="0"/>
    <x v="3"/>
    <x v="0"/>
    <n v="103"/>
    <n v="85"/>
    <n v="67"/>
    <n v="51"/>
    <n v="30"/>
    <n v="21"/>
    <n v="2"/>
    <d v="2025-08-06T00:00:00"/>
    <n v="30"/>
    <n v="0.82524271844660191"/>
    <n v="0.78823529411764703"/>
    <n v="0.76119402985074625"/>
    <n v="0.58823529411764708"/>
    <n v="0.41176470588235292"/>
    <n v="9.5238095238095233E-2"/>
    <x v="2"/>
  </r>
  <r>
    <d v="2025-06-17T00:00:00"/>
    <x v="2"/>
    <x v="3"/>
    <x v="2"/>
    <n v="119"/>
    <n v="99"/>
    <n v="76"/>
    <n v="54"/>
    <n v="39"/>
    <n v="27"/>
    <n v="6"/>
    <d v="2025-07-26T00:00:00"/>
    <n v="39"/>
    <n v="0.83193277310924374"/>
    <n v="0.76767676767676762"/>
    <n v="0.71052631578947367"/>
    <n v="0.72222222222222221"/>
    <n v="0.5"/>
    <n v="0.22222222222222221"/>
    <x v="0"/>
  </r>
  <r>
    <d v="2025-06-01T00:00:00"/>
    <x v="0"/>
    <x v="3"/>
    <x v="0"/>
    <n v="110"/>
    <n v="88"/>
    <n v="73"/>
    <n v="53"/>
    <n v="33"/>
    <n v="19"/>
    <n v="10"/>
    <d v="2025-07-04T00:00:00"/>
    <n v="33"/>
    <n v="0.8"/>
    <n v="0.82954545454545459"/>
    <n v="0.72602739726027399"/>
    <n v="0.62264150943396224"/>
    <n v="0.35849056603773582"/>
    <n v="0.52631578947368418"/>
    <x v="0"/>
  </r>
  <r>
    <d v="2025-05-12T00:00:00"/>
    <x v="4"/>
    <x v="4"/>
    <x v="1"/>
    <n v="119"/>
    <n v="95"/>
    <n v="79"/>
    <n v="50"/>
    <n v="39"/>
    <n v="13"/>
    <n v="8"/>
    <d v="2025-06-20T00:00:00"/>
    <n v="39"/>
    <n v="0.79831932773109249"/>
    <n v="0.83157894736842108"/>
    <n v="0.63291139240506333"/>
    <n v="0.78"/>
    <n v="0.26"/>
    <n v="0.61538461538461542"/>
    <x v="1"/>
  </r>
  <r>
    <d v="2025-05-15T00:00:00"/>
    <x v="3"/>
    <x v="1"/>
    <x v="3"/>
    <n v="132"/>
    <n v="96"/>
    <n v="61"/>
    <n v="55"/>
    <n v="39"/>
    <n v="16"/>
    <n v="5"/>
    <d v="2025-06-23T00:00:00"/>
    <n v="39"/>
    <n v="0.72727272727272729"/>
    <n v="0.63541666666666663"/>
    <n v="0.90163934426229508"/>
    <n v="0.70909090909090911"/>
    <n v="0.29090909090909089"/>
    <n v="0.3125"/>
    <x v="1"/>
  </r>
  <r>
    <d v="2025-06-15T00:00:00"/>
    <x v="2"/>
    <x v="2"/>
    <x v="2"/>
    <n v="128"/>
    <n v="93"/>
    <n v="78"/>
    <n v="65"/>
    <n v="39"/>
    <n v="12"/>
    <n v="6"/>
    <d v="2025-07-24T00:00:00"/>
    <n v="39"/>
    <n v="0.7265625"/>
    <n v="0.83870967741935487"/>
    <n v="0.83333333333333337"/>
    <n v="0.6"/>
    <n v="0.18461538461538463"/>
    <n v="0.5"/>
    <x v="0"/>
  </r>
  <r>
    <d v="2025-06-27T00:00:00"/>
    <x v="3"/>
    <x v="0"/>
    <x v="4"/>
    <n v="103"/>
    <n v="97"/>
    <n v="62"/>
    <n v="62"/>
    <n v="38"/>
    <n v="28"/>
    <n v="9"/>
    <d v="2025-08-04T00:00:00"/>
    <n v="38"/>
    <n v="0.94174757281553401"/>
    <n v="0.63917525773195871"/>
    <n v="1"/>
    <n v="0.61290322580645162"/>
    <n v="0.45161290322580644"/>
    <n v="0.32142857142857145"/>
    <x v="0"/>
  </r>
  <r>
    <d v="2025-05-30T00:00:00"/>
    <x v="2"/>
    <x v="1"/>
    <x v="2"/>
    <n v="109"/>
    <n v="85"/>
    <n v="79"/>
    <n v="48"/>
    <n v="38"/>
    <n v="12"/>
    <n v="2"/>
    <d v="2025-07-07T00:00:00"/>
    <n v="38"/>
    <n v="0.77981651376146788"/>
    <n v="0.92941176470588238"/>
    <n v="0.60759493670886078"/>
    <n v="0.79166666666666663"/>
    <n v="0.25"/>
    <n v="0.16666666666666666"/>
    <x v="1"/>
  </r>
  <r>
    <d v="2025-05-09T00:00:00"/>
    <x v="0"/>
    <x v="0"/>
    <x v="0"/>
    <n v="105"/>
    <n v="90"/>
    <n v="60"/>
    <n v="51"/>
    <n v="40"/>
    <n v="30"/>
    <n v="3"/>
    <d v="2025-06-18T00:00:00"/>
    <n v="40"/>
    <n v="0.8571428571428571"/>
    <n v="0.66666666666666663"/>
    <n v="0.85"/>
    <n v="0.78431372549019607"/>
    <n v="0.58823529411764708"/>
    <n v="0.1"/>
    <x v="1"/>
  </r>
  <r>
    <d v="2025-06-07T00:00:00"/>
    <x v="4"/>
    <x v="4"/>
    <x v="4"/>
    <n v="123"/>
    <n v="94"/>
    <n v="73"/>
    <n v="56"/>
    <n v="31"/>
    <n v="24"/>
    <n v="4"/>
    <d v="2025-07-08T00:00:00"/>
    <n v="31"/>
    <n v="0.76422764227642281"/>
    <n v="0.77659574468085102"/>
    <n v="0.76712328767123283"/>
    <n v="0.5535714285714286"/>
    <n v="0.42857142857142855"/>
    <n v="0.16666666666666666"/>
    <x v="0"/>
  </r>
  <r>
    <d v="2025-05-25T00:00:00"/>
    <x v="4"/>
    <x v="0"/>
    <x v="2"/>
    <n v="136"/>
    <n v="94"/>
    <n v="67"/>
    <n v="65"/>
    <n v="37"/>
    <n v="25"/>
    <n v="6"/>
    <d v="2025-07-01T00:00:00"/>
    <n v="37"/>
    <n v="0.69117647058823528"/>
    <n v="0.71276595744680848"/>
    <n v="0.97014925373134331"/>
    <n v="0.56923076923076921"/>
    <n v="0.38461538461538464"/>
    <n v="0.24"/>
    <x v="1"/>
  </r>
  <r>
    <d v="2025-06-21T00:00:00"/>
    <x v="0"/>
    <x v="2"/>
    <x v="3"/>
    <n v="100"/>
    <n v="95"/>
    <n v="64"/>
    <n v="45"/>
    <n v="39"/>
    <n v="16"/>
    <n v="7"/>
    <d v="2025-07-30T00:00:00"/>
    <n v="39"/>
    <n v="0.95"/>
    <n v="0.67368421052631577"/>
    <n v="0.703125"/>
    <n v="0.8666666666666667"/>
    <n v="0.35555555555555557"/>
    <n v="0.4375"/>
    <x v="0"/>
  </r>
  <r>
    <d v="2025-06-18T00:00:00"/>
    <x v="3"/>
    <x v="0"/>
    <x v="2"/>
    <n v="104"/>
    <n v="97"/>
    <n v="61"/>
    <n v="56"/>
    <n v="35"/>
    <n v="27"/>
    <n v="10"/>
    <d v="2025-07-23T00:00:00"/>
    <n v="35"/>
    <n v="0.93269230769230771"/>
    <n v="0.62886597938144329"/>
    <n v="0.91803278688524592"/>
    <n v="0.625"/>
    <n v="0.48214285714285715"/>
    <n v="0.37037037037037035"/>
    <x v="0"/>
  </r>
  <r>
    <d v="2025-06-10T00:00:00"/>
    <x v="3"/>
    <x v="0"/>
    <x v="3"/>
    <n v="110"/>
    <n v="93"/>
    <n v="62"/>
    <n v="57"/>
    <n v="31"/>
    <n v="14"/>
    <n v="1"/>
    <d v="2025-07-11T00:00:00"/>
    <n v="31"/>
    <n v="0.84545454545454546"/>
    <n v="0.66666666666666663"/>
    <n v="0.91935483870967738"/>
    <n v="0.54385964912280704"/>
    <n v="0.24561403508771928"/>
    <n v="7.1428571428571425E-2"/>
    <x v="0"/>
  </r>
  <r>
    <d v="2025-05-19T00:00:00"/>
    <x v="4"/>
    <x v="4"/>
    <x v="1"/>
    <n v="139"/>
    <n v="99"/>
    <n v="75"/>
    <n v="42"/>
    <n v="36"/>
    <n v="27"/>
    <n v="10"/>
    <d v="2025-06-24T00:00:00"/>
    <n v="36"/>
    <n v="0.71223021582733814"/>
    <n v="0.75757575757575757"/>
    <n v="0.56000000000000005"/>
    <n v="0.8571428571428571"/>
    <n v="0.6428571428571429"/>
    <n v="0.37037037037037035"/>
    <x v="1"/>
  </r>
  <r>
    <d v="2025-06-11T00:00:00"/>
    <x v="3"/>
    <x v="4"/>
    <x v="4"/>
    <n v="125"/>
    <n v="96"/>
    <n v="66"/>
    <n v="49"/>
    <n v="34"/>
    <n v="14"/>
    <n v="10"/>
    <d v="2025-07-15T00:00:00"/>
    <n v="34"/>
    <n v="0.76800000000000002"/>
    <n v="0.6875"/>
    <n v="0.74242424242424243"/>
    <n v="0.69387755102040816"/>
    <n v="0.2857142857142857"/>
    <n v="0.7142857142857143"/>
    <x v="0"/>
  </r>
  <r>
    <d v="2025-05-22T00:00:00"/>
    <x v="4"/>
    <x v="4"/>
    <x v="3"/>
    <n v="119"/>
    <n v="93"/>
    <n v="73"/>
    <n v="64"/>
    <n v="35"/>
    <n v="10"/>
    <n v="10"/>
    <d v="2025-06-26T00:00:00"/>
    <n v="35"/>
    <n v="0.78151260504201681"/>
    <n v="0.78494623655913975"/>
    <n v="0.87671232876712324"/>
    <n v="0.546875"/>
    <n v="0.15625"/>
    <n v="1"/>
    <x v="1"/>
  </r>
  <r>
    <d v="2025-06-19T00:00:00"/>
    <x v="4"/>
    <x v="2"/>
    <x v="2"/>
    <n v="145"/>
    <n v="96"/>
    <n v="78"/>
    <n v="52"/>
    <n v="38"/>
    <n v="28"/>
    <n v="7"/>
    <d v="2025-07-27T00:00:00"/>
    <n v="38"/>
    <n v="0.66206896551724137"/>
    <n v="0.8125"/>
    <n v="0.66666666666666663"/>
    <n v="0.73076923076923073"/>
    <n v="0.53846153846153844"/>
    <n v="0.25"/>
    <x v="0"/>
  </r>
  <r>
    <d v="2025-07-01T00:00:00"/>
    <x v="0"/>
    <x v="4"/>
    <x v="1"/>
    <n v="140"/>
    <n v="95"/>
    <n v="73"/>
    <n v="53"/>
    <n v="36"/>
    <n v="28"/>
    <n v="7"/>
    <d v="2025-08-06T00:00:00"/>
    <n v="36"/>
    <n v="0.6785714285714286"/>
    <n v="0.76842105263157889"/>
    <n v="0.72602739726027399"/>
    <n v="0.67924528301886788"/>
    <n v="0.52830188679245282"/>
    <n v="0.25"/>
    <x v="2"/>
  </r>
  <r>
    <d v="2025-05-09T00:00:00"/>
    <x v="1"/>
    <x v="3"/>
    <x v="4"/>
    <n v="145"/>
    <n v="97"/>
    <n v="77"/>
    <n v="43"/>
    <n v="34"/>
    <n v="30"/>
    <n v="3"/>
    <d v="2025-06-12T00:00:00"/>
    <n v="34"/>
    <n v="0.66896551724137931"/>
    <n v="0.79381443298969068"/>
    <n v="0.55844155844155841"/>
    <n v="0.79069767441860461"/>
    <n v="0.69767441860465118"/>
    <n v="0.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9">
  <location ref="H28:I29" firstHeaderRow="0" firstDataRow="1" firstDataCol="0"/>
  <pivotFields count="20">
    <pivotField numFmtId="14" showAll="0"/>
    <pivotField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showAll="0"/>
    <pivotField dataField="1" showAll="0"/>
    <pivotField dataField="1" showAll="0"/>
    <pivotField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Items count="1">
    <i/>
  </rowItems>
  <colFields count="1">
    <field x="-2"/>
  </colFields>
  <colItems count="2">
    <i>
      <x/>
    </i>
    <i i="1">
      <x v="1"/>
    </i>
  </colItems>
  <dataFields count="2">
    <dataField name="Sum of Total Contacted" fld="6" baseField="0" baseItem="0"/>
    <dataField name="Sum of Total Interviewed" fld="7" baseField="0" baseItem="0"/>
  </dataFields>
  <chartFormats count="1">
    <chartFormat chart="1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9">
  <location ref="H48:I49" firstHeaderRow="0" firstDataRow="1" firstDataCol="0"/>
  <pivotFields count="20">
    <pivotField numFmtId="14" showAll="0"/>
    <pivotField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showAll="0"/>
    <pivotField showAll="0"/>
    <pivotField showAll="0"/>
    <pivotField showAll="0"/>
    <pivotField dataField="1" showAll="0"/>
    <pivotField dataField="1"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Items count="1">
    <i/>
  </rowItems>
  <colFields count="1">
    <field x="-2"/>
  </colFields>
  <colItems count="2">
    <i>
      <x/>
    </i>
    <i i="1">
      <x v="1"/>
    </i>
  </colItems>
  <dataFields count="2">
    <dataField name="Sum of Total Selected" fld="9" baseField="0" baseItem="0"/>
    <dataField name="Sum of Total Hire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3">
  <location ref="A99:H104" firstHeaderRow="0" firstDataRow="1" firstDataCol="1"/>
  <pivotFields count="20">
    <pivotField numFmtId="14" showAll="0"/>
    <pivotField showAll="0">
      <items count="6">
        <item x="3"/>
        <item x="0"/>
        <item x="2"/>
        <item x="1"/>
        <item x="4"/>
        <item t="default"/>
      </items>
    </pivotField>
    <pivotField axis="axisRow" showAll="0">
      <items count="6">
        <item x="1"/>
        <item x="0"/>
        <item x="3"/>
        <item x="2"/>
        <item x="4"/>
        <item t="default"/>
      </items>
    </pivotField>
    <pivotField showAll="0">
      <items count="6">
        <item x="0"/>
        <item x="2"/>
        <item x="4"/>
        <item x="3"/>
        <item x="1"/>
        <item t="default"/>
      </items>
    </pivotField>
    <pivotField dataField="1" showAll="0"/>
    <pivotField dataField="1" showAll="0"/>
    <pivotField dataField="1" showAll="0"/>
    <pivotField dataField="1" showAll="0"/>
    <pivotField dataField="1" showAll="0"/>
    <pivotField dataField="1" showAll="0"/>
    <pivotField dataField="1"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2"/>
  </rowFields>
  <rowItems count="5">
    <i>
      <x/>
    </i>
    <i>
      <x v="1"/>
    </i>
    <i>
      <x v="2"/>
    </i>
    <i>
      <x v="3"/>
    </i>
    <i>
      <x v="4"/>
    </i>
  </rowItems>
  <colFields count="1">
    <field x="-2"/>
  </colFields>
  <colItems count="7">
    <i>
      <x/>
    </i>
    <i i="1">
      <x v="1"/>
    </i>
    <i i="2">
      <x v="2"/>
    </i>
    <i i="3">
      <x v="3"/>
    </i>
    <i i="4">
      <x v="4"/>
    </i>
    <i i="5">
      <x v="5"/>
    </i>
    <i i="6">
      <x v="6"/>
    </i>
  </colItems>
  <dataFields count="7">
    <dataField name="Sum of Total Applications" fld="4" baseField="0" baseItem="0"/>
    <dataField name="Sum of Total Shortlisted" fld="5" baseField="0" baseItem="0"/>
    <dataField name="Sum of Total Contacted" fld="6" baseField="0" baseItem="0"/>
    <dataField name="Sum of Total Interviewed" fld="7" baseField="0" baseItem="0"/>
    <dataField name="Sum of Total Rejected" fld="8" baseField="0" baseItem="0"/>
    <dataField name="Sum of Total Selected" fld="9" baseField="0" baseItem="0"/>
    <dataField name="Sum of Total Hired" fld="10" baseField="0" baseItem="0"/>
  </dataFields>
  <chartFormats count="7">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12" format="4" series="1">
      <pivotArea type="data" outline="0" fieldPosition="0">
        <references count="1">
          <reference field="4294967294" count="1" selected="0">
            <x v="4"/>
          </reference>
        </references>
      </pivotArea>
    </chartFormat>
    <chartFormat chart="12" format="5" series="1">
      <pivotArea type="data" outline="0" fieldPosition="0">
        <references count="1">
          <reference field="4294967294" count="1" selected="0">
            <x v="5"/>
          </reference>
        </references>
      </pivotArea>
    </chartFormat>
    <chartFormat chart="12" format="6"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77:C82" firstHeaderRow="0" firstDataRow="1" firstDataCol="1"/>
  <pivotFields count="20">
    <pivotField numFmtId="14" showAll="0"/>
    <pivotField showAll="0">
      <items count="6">
        <item x="3"/>
        <item x="0"/>
        <item x="2"/>
        <item x="1"/>
        <item x="4"/>
        <item t="default"/>
      </items>
    </pivotField>
    <pivotField axis="axisRow" showAll="0">
      <items count="6">
        <item x="1"/>
        <item x="0"/>
        <item x="3"/>
        <item x="2"/>
        <item x="4"/>
        <item t="default"/>
      </items>
    </pivotField>
    <pivotField showAll="0">
      <items count="6">
        <item x="0"/>
        <item x="2"/>
        <item x="4"/>
        <item x="3"/>
        <item x="1"/>
        <item t="default"/>
      </items>
    </pivotField>
    <pivotField showAll="0"/>
    <pivotField showAll="0"/>
    <pivotField dataField="1" showAll="0"/>
    <pivotField dataField="1" showAll="0"/>
    <pivotField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2"/>
  </rowFields>
  <rowItems count="5">
    <i>
      <x/>
    </i>
    <i>
      <x v="1"/>
    </i>
    <i>
      <x v="2"/>
    </i>
    <i>
      <x v="3"/>
    </i>
    <i>
      <x v="4"/>
    </i>
  </rowItems>
  <colFields count="1">
    <field x="-2"/>
  </colFields>
  <colItems count="2">
    <i>
      <x/>
    </i>
    <i i="1">
      <x v="1"/>
    </i>
  </colItems>
  <dataFields count="2">
    <dataField name="Sum of Total Contacted" fld="6" baseField="0" baseItem="0"/>
    <dataField name="Sum of Total Interview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34:C39" firstHeaderRow="0" firstDataRow="1" firstDataCol="1"/>
  <pivotFields count="20">
    <pivotField numFmtId="14" showAll="0"/>
    <pivotField axis="axisRow"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showAll="0"/>
    <pivotField showAll="0"/>
    <pivotField dataField="1" showAll="0"/>
    <pivotField showAll="0"/>
    <pivotField dataField="1"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1"/>
  </rowFields>
  <rowItems count="5">
    <i>
      <x/>
    </i>
    <i>
      <x v="1"/>
    </i>
    <i>
      <x v="2"/>
    </i>
    <i>
      <x v="3"/>
    </i>
    <i>
      <x v="4"/>
    </i>
  </rowItems>
  <colFields count="1">
    <field x="-2"/>
  </colFields>
  <colItems count="2">
    <i>
      <x/>
    </i>
    <i i="1">
      <x v="1"/>
    </i>
  </colItems>
  <dataFields count="2">
    <dataField name="Sum of Total Interviewed" fld="7" baseField="0" baseItem="0"/>
    <dataField name="Sum of Total Selected" fld="9" baseField="0" baseItem="0"/>
  </dataFields>
  <chartFormats count="2">
    <chartFormat chart="9" format="14"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4">
  <location ref="A21:G26" firstHeaderRow="0" firstDataRow="1" firstDataCol="1"/>
  <pivotFields count="20">
    <pivotField numFmtId="14" showAll="0"/>
    <pivotField axis="axisRow"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dataField="1" showAll="0"/>
    <pivotField dataField="1" showAll="0"/>
    <pivotField dataField="1" showAll="0"/>
    <pivotField dataField="1" showAll="0"/>
    <pivotField dataField="1" showAll="0"/>
    <pivotField dataField="1"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1"/>
  </rowFields>
  <rowItems count="5">
    <i>
      <x/>
    </i>
    <i>
      <x v="1"/>
    </i>
    <i>
      <x v="2"/>
    </i>
    <i>
      <x v="3"/>
    </i>
    <i>
      <x v="4"/>
    </i>
  </rowItems>
  <colFields count="1">
    <field x="-2"/>
  </colFields>
  <colItems count="6">
    <i>
      <x/>
    </i>
    <i i="1">
      <x v="1"/>
    </i>
    <i i="2">
      <x v="2"/>
    </i>
    <i i="3">
      <x v="3"/>
    </i>
    <i i="4">
      <x v="4"/>
    </i>
    <i i="5">
      <x v="5"/>
    </i>
  </colItems>
  <dataFields count="6">
    <dataField name="Shortlisted" fld="5" baseField="1" baseItem="0"/>
    <dataField name="Sum of Total Contacted" fld="6" baseField="0" baseItem="0"/>
    <dataField name="Sum of Total Interviewed" fld="7" baseField="0" baseItem="0"/>
    <dataField name="Sum of Total Selected" fld="9" baseField="0" baseItem="0"/>
    <dataField name="Sum of Total Rejected" fld="8" baseField="0" baseItem="0"/>
    <dataField name="Sum of Total Hired" fld="10" baseField="0" baseItem="0"/>
  </dataFields>
  <chartFormats count="7">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 chart="9" format="15" series="1">
      <pivotArea type="data" outline="0" fieldPosition="0">
        <references count="1">
          <reference field="4294967294" count="1" selected="0">
            <x v="3"/>
          </reference>
        </references>
      </pivotArea>
    </chartFormat>
    <chartFormat chart="9" format="16" series="1">
      <pivotArea type="data" outline="0" fieldPosition="0">
        <references count="1">
          <reference field="4294967294" count="1" selected="0">
            <x v="4"/>
          </reference>
        </references>
      </pivotArea>
    </chartFormat>
    <chartFormat chart="9" format="17" series="1">
      <pivotArea type="data" outline="0" fieldPosition="0">
        <references count="1">
          <reference field="4294967294" count="1" selected="0">
            <x v="5"/>
          </reference>
        </references>
      </pivotArea>
    </chartFormat>
    <chartFormat chart="9" format="18">
      <pivotArea type="data" outline="0" fieldPosition="0">
        <references count="2">
          <reference field="4294967294" count="1" selected="0">
            <x v="2"/>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55:C60" firstHeaderRow="0" firstDataRow="1" firstDataCol="1"/>
  <pivotFields count="20">
    <pivotField numFmtId="14" showAll="0"/>
    <pivotField showAll="0">
      <items count="6">
        <item x="3"/>
        <item x="0"/>
        <item x="2"/>
        <item x="1"/>
        <item x="4"/>
        <item t="default"/>
      </items>
    </pivotField>
    <pivotField axis="axisRow" showAll="0">
      <items count="6">
        <item x="1"/>
        <item x="0"/>
        <item x="3"/>
        <item x="2"/>
        <item x="4"/>
        <item t="default"/>
      </items>
    </pivotField>
    <pivotField showAll="0">
      <items count="6">
        <item x="0"/>
        <item x="2"/>
        <item x="4"/>
        <item x="3"/>
        <item x="1"/>
        <item t="default"/>
      </items>
    </pivotField>
    <pivotField showAll="0"/>
    <pivotField showAll="0"/>
    <pivotField showAll="0"/>
    <pivotField showAll="0"/>
    <pivotField showAll="0"/>
    <pivotField dataField="1" showAll="0"/>
    <pivotField dataField="1"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2"/>
  </rowFields>
  <rowItems count="5">
    <i>
      <x/>
    </i>
    <i>
      <x v="1"/>
    </i>
    <i>
      <x v="2"/>
    </i>
    <i>
      <x v="3"/>
    </i>
    <i>
      <x v="4"/>
    </i>
  </rowItems>
  <colFields count="1">
    <field x="-2"/>
  </colFields>
  <colItems count="2">
    <i>
      <x/>
    </i>
    <i i="1">
      <x v="1"/>
    </i>
  </colItems>
  <dataFields count="2">
    <dataField name="Sum of Total Selected" fld="9" baseField="0" baseItem="0"/>
    <dataField name="Sum of Total Hire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8">
  <location ref="A13:C18" firstHeaderRow="0" firstDataRow="1" firstDataCol="1"/>
  <pivotFields count="20">
    <pivotField numFmtId="14" showAll="0"/>
    <pivotField axis="axisRow"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dataField="1" showAll="0"/>
    <pivotField dataField="1" showAll="0"/>
    <pivotField showAll="0"/>
    <pivotField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1"/>
  </rowFields>
  <rowItems count="5">
    <i>
      <x/>
    </i>
    <i>
      <x v="1"/>
    </i>
    <i>
      <x v="2"/>
    </i>
    <i>
      <x v="3"/>
    </i>
    <i>
      <x v="4"/>
    </i>
  </rowItems>
  <colFields count="1">
    <field x="-2"/>
  </colFields>
  <colItems count="2">
    <i>
      <x/>
    </i>
    <i i="1">
      <x v="1"/>
    </i>
  </colItems>
  <dataFields count="2">
    <dataField name="Sum of Total Shortlisted" fld="5" baseField="0" baseItem="0"/>
    <dataField name="Sum of Total Contacted" fld="6" baseField="0" baseItem="0"/>
  </dataFields>
  <chartFormats count="4">
    <chartFormat chart="12"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6">
  <location ref="H53:I58" firstHeaderRow="1" firstDataRow="1" firstDataCol="1"/>
  <pivotFields count="20">
    <pivotField numFmtId="14" showAll="0"/>
    <pivotField axis="axisRow"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showAll="0"/>
    <pivotField showAll="0"/>
    <pivotField showAll="0"/>
    <pivotField showAll="0"/>
    <pivotField showAll="0"/>
    <pivotField showAll="0"/>
    <pivotField numFmtId="14" showAll="0"/>
    <pivotField dataField="1"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1"/>
  </rowFields>
  <rowItems count="5">
    <i>
      <x/>
    </i>
    <i>
      <x v="1"/>
    </i>
    <i>
      <x v="2"/>
    </i>
    <i>
      <x v="3"/>
    </i>
    <i>
      <x v="4"/>
    </i>
  </rowItems>
  <colItems count="1">
    <i/>
  </colItems>
  <dataFields count="1">
    <dataField name="Sum of Process Duration" fld="12" baseField="0" baseItem="0"/>
  </dataFields>
  <chartFormats count="4">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91:C96" firstHeaderRow="0" firstDataRow="1" firstDataCol="1"/>
  <pivotFields count="20">
    <pivotField numFmtId="14" showAll="0"/>
    <pivotField showAll="0">
      <items count="6">
        <item x="3"/>
        <item x="0"/>
        <item x="2"/>
        <item x="1"/>
        <item x="4"/>
        <item t="default"/>
      </items>
    </pivotField>
    <pivotField axis="axisRow" showAll="0">
      <items count="6">
        <item x="1"/>
        <item x="0"/>
        <item x="3"/>
        <item x="2"/>
        <item x="4"/>
        <item t="default"/>
      </items>
    </pivotField>
    <pivotField showAll="0">
      <items count="6">
        <item x="0"/>
        <item x="2"/>
        <item x="4"/>
        <item x="3"/>
        <item x="1"/>
        <item t="default"/>
      </items>
    </pivotField>
    <pivotField showAll="0"/>
    <pivotField showAll="0"/>
    <pivotField showAll="0"/>
    <pivotField dataField="1" showAll="0"/>
    <pivotField dataField="1"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2"/>
  </rowFields>
  <rowItems count="5">
    <i>
      <x/>
    </i>
    <i>
      <x v="1"/>
    </i>
    <i>
      <x v="2"/>
    </i>
    <i>
      <x v="3"/>
    </i>
    <i>
      <x v="4"/>
    </i>
  </rowItems>
  <colFields count="1">
    <field x="-2"/>
  </colFields>
  <colItems count="2">
    <i>
      <x/>
    </i>
    <i i="1">
      <x v="1"/>
    </i>
  </colItems>
  <dataFields count="2">
    <dataField name="Sum of Total Interviewed" fld="7" baseField="0" baseItem="0"/>
    <dataField name="Sum of Total Reject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9">
  <location ref="H34:I35" firstHeaderRow="0" firstDataRow="1" firstDataCol="0"/>
  <pivotFields count="20">
    <pivotField numFmtId="14" showAll="0"/>
    <pivotField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showAll="0"/>
    <pivotField showAll="0"/>
    <pivotField dataField="1" showAll="0"/>
    <pivotField showAll="0"/>
    <pivotField dataField="1"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Items count="1">
    <i/>
  </rowItems>
  <colFields count="1">
    <field x="-2"/>
  </colFields>
  <colItems count="2">
    <i>
      <x/>
    </i>
    <i i="1">
      <x v="1"/>
    </i>
  </colItems>
  <dataFields count="2">
    <dataField name="Sum of Total Interviewed" fld="7" baseField="0" baseItem="0"/>
    <dataField name="Sum of Total Selecte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28:C33" firstHeaderRow="0" firstDataRow="1" firstDataCol="1"/>
  <pivotFields count="20">
    <pivotField numFmtId="14" showAll="0"/>
    <pivotField axis="axisRow"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showAll="0"/>
    <pivotField dataField="1" showAll="0"/>
    <pivotField dataField="1" showAll="0"/>
    <pivotField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1"/>
  </rowFields>
  <rowItems count="5">
    <i>
      <x/>
    </i>
    <i>
      <x v="1"/>
    </i>
    <i>
      <x v="2"/>
    </i>
    <i>
      <x v="3"/>
    </i>
    <i>
      <x v="4"/>
    </i>
  </rowItems>
  <colFields count="1">
    <field x="-2"/>
  </colFields>
  <colItems count="2">
    <i>
      <x/>
    </i>
    <i i="1">
      <x v="1"/>
    </i>
  </colItems>
  <dataFields count="2">
    <dataField name="Sum of Total Contacted" fld="6" baseField="0" baseItem="0"/>
    <dataField name="Sum of Total Interviewed" fld="7" baseField="0" baseItem="0"/>
  </dataFields>
  <chartFormats count="3">
    <chartFormat chart="9"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1"/>
          </reference>
        </references>
      </pivotArea>
    </chartFormat>
    <chartFormat chart="9" format="18">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9">
  <location ref="H13:I14" firstHeaderRow="0" firstDataRow="1" firstDataCol="0"/>
  <pivotFields count="20">
    <pivotField numFmtId="14" showAll="0"/>
    <pivotField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dataField="1" showAll="0"/>
    <pivotField dataField="1" showAll="0"/>
    <pivotField showAll="0"/>
    <pivotField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Items count="1">
    <i/>
  </rowItems>
  <colFields count="1">
    <field x="-2"/>
  </colFields>
  <colItems count="2">
    <i>
      <x/>
    </i>
    <i i="1">
      <x v="1"/>
    </i>
  </colItems>
  <dataFields count="2">
    <dataField name="Sum of Total Shortlisted" fld="5" baseField="0" baseItem="0"/>
    <dataField name="Sum of Total Contact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6">
  <location ref="A11:B12" firstHeaderRow="0" firstDataRow="1" firstDataCol="0"/>
  <pivotFields count="20">
    <pivotField numFmtId="14" showAll="0"/>
    <pivotField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dataField="1" showAll="0"/>
    <pivotField dataField="1" showAll="0"/>
    <pivotField showAll="0"/>
    <pivotField showAll="0"/>
    <pivotField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Items count="1">
    <i/>
  </rowItems>
  <colFields count="1">
    <field x="-2"/>
  </colFields>
  <colItems count="2">
    <i>
      <x/>
    </i>
    <i i="1">
      <x v="1"/>
    </i>
  </colItems>
  <dataFields count="2">
    <dataField name="Sum of Total Applications" fld="4" baseField="0" baseItem="0"/>
    <dataField name="Sum of Total Shortlist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48:C53" firstHeaderRow="0" firstDataRow="1" firstDataCol="1"/>
  <pivotFields count="20">
    <pivotField numFmtId="14" showAll="0"/>
    <pivotField axis="axisRow"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showAll="0"/>
    <pivotField showAll="0"/>
    <pivotField showAll="0"/>
    <pivotField showAll="0"/>
    <pivotField dataField="1" showAll="0"/>
    <pivotField dataField="1"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1"/>
  </rowFields>
  <rowItems count="5">
    <i>
      <x/>
    </i>
    <i>
      <x v="1"/>
    </i>
    <i>
      <x v="2"/>
    </i>
    <i>
      <x v="3"/>
    </i>
    <i>
      <x v="4"/>
    </i>
  </rowItems>
  <colFields count="1">
    <field x="-2"/>
  </colFields>
  <colItems count="2">
    <i>
      <x/>
    </i>
    <i i="1">
      <x v="1"/>
    </i>
  </colItems>
  <dataFields count="2">
    <dataField name="Sum of Total Selected" fld="9" baseField="0" baseItem="0"/>
    <dataField name="Sum of Total Hire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41:C46" firstHeaderRow="0" firstDataRow="1" firstDataCol="1"/>
  <pivotFields count="20">
    <pivotField numFmtId="14" showAll="0"/>
    <pivotField axis="axisRow"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showAll="0"/>
    <pivotField showAll="0"/>
    <pivotField dataField="1" showAll="0"/>
    <pivotField dataField="1"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1"/>
  </rowFields>
  <rowItems count="5">
    <i>
      <x/>
    </i>
    <i>
      <x v="1"/>
    </i>
    <i>
      <x v="2"/>
    </i>
    <i>
      <x v="3"/>
    </i>
    <i>
      <x v="4"/>
    </i>
  </rowItems>
  <colFields count="1">
    <field x="-2"/>
  </colFields>
  <colItems count="2">
    <i>
      <x/>
    </i>
    <i i="1">
      <x v="1"/>
    </i>
  </colItems>
  <dataFields count="2">
    <dataField name="Sum of Total Interviewed" fld="7" baseField="0" baseItem="0"/>
    <dataField name="Sum of Total Rejected" fld="8" baseField="0" baseItem="0"/>
  </dataFields>
  <chartFormats count="2">
    <chartFormat chart="9" format="14"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location ref="A3:C8" firstHeaderRow="0" firstDataRow="1" firstDataCol="1"/>
  <pivotFields count="20">
    <pivotField numFmtId="14" showAll="0"/>
    <pivotField axis="axisRow"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dataField="1" showAll="0"/>
    <pivotField dataField="1" showAll="0"/>
    <pivotField showAll="0"/>
    <pivotField showAll="0"/>
    <pivotField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1"/>
  </rowFields>
  <rowItems count="5">
    <i>
      <x/>
    </i>
    <i>
      <x v="1"/>
    </i>
    <i>
      <x v="2"/>
    </i>
    <i>
      <x v="3"/>
    </i>
    <i>
      <x v="4"/>
    </i>
  </rowItems>
  <colFields count="1">
    <field x="-2"/>
  </colFields>
  <colItems count="2">
    <i>
      <x/>
    </i>
    <i i="1">
      <x v="1"/>
    </i>
  </colItems>
  <dataFields count="2">
    <dataField name="Sum of Total Applications" fld="4" baseField="0" baseItem="0"/>
    <dataField name="Sum of Total Shortlist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70:C75" firstHeaderRow="0" firstDataRow="1" firstDataCol="1"/>
  <pivotFields count="20">
    <pivotField numFmtId="14" showAll="0"/>
    <pivotField showAll="0">
      <items count="6">
        <item x="3"/>
        <item x="0"/>
        <item x="2"/>
        <item x="1"/>
        <item x="4"/>
        <item t="default"/>
      </items>
    </pivotField>
    <pivotField axis="axisRow" showAll="0">
      <items count="6">
        <item x="1"/>
        <item x="0"/>
        <item x="3"/>
        <item x="2"/>
        <item x="4"/>
        <item t="default"/>
      </items>
    </pivotField>
    <pivotField showAll="0">
      <items count="6">
        <item x="0"/>
        <item x="2"/>
        <item x="4"/>
        <item x="3"/>
        <item x="1"/>
        <item t="default"/>
      </items>
    </pivotField>
    <pivotField showAll="0"/>
    <pivotField dataField="1" showAll="0"/>
    <pivotField dataField="1" showAll="0"/>
    <pivotField showAll="0"/>
    <pivotField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2"/>
  </rowFields>
  <rowItems count="5">
    <i>
      <x/>
    </i>
    <i>
      <x v="1"/>
    </i>
    <i>
      <x v="2"/>
    </i>
    <i>
      <x v="3"/>
    </i>
    <i>
      <x v="4"/>
    </i>
  </rowItems>
  <colFields count="1">
    <field x="-2"/>
  </colFields>
  <colItems count="2">
    <i>
      <x/>
    </i>
    <i i="1">
      <x v="1"/>
    </i>
  </colItems>
  <dataFields count="2">
    <dataField name="Sum of Total Shortlisted" fld="5" baseField="0" baseItem="0"/>
    <dataField name="Sum of Total Contact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9">
  <location ref="H41:I42" firstHeaderRow="0" firstDataRow="1" firstDataCol="0"/>
  <pivotFields count="20">
    <pivotField numFmtId="14" showAll="0"/>
    <pivotField showAll="0">
      <items count="6">
        <item x="3"/>
        <item x="0"/>
        <item x="2"/>
        <item x="1"/>
        <item x="4"/>
        <item t="default"/>
      </items>
    </pivotField>
    <pivotField showAll="0">
      <items count="6">
        <item x="1"/>
        <item x="0"/>
        <item x="3"/>
        <item x="2"/>
        <item x="4"/>
        <item t="default"/>
      </items>
    </pivotField>
    <pivotField showAll="0">
      <items count="6">
        <item x="0"/>
        <item x="2"/>
        <item x="4"/>
        <item x="3"/>
        <item x="1"/>
        <item t="default"/>
      </items>
    </pivotField>
    <pivotField showAll="0"/>
    <pivotField showAll="0"/>
    <pivotField showAll="0"/>
    <pivotField dataField="1" showAll="0"/>
    <pivotField dataField="1"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Items count="1">
    <i/>
  </rowItems>
  <colFields count="1">
    <field x="-2"/>
  </colFields>
  <colItems count="2">
    <i>
      <x/>
    </i>
    <i i="1">
      <x v="1"/>
    </i>
  </colItems>
  <dataFields count="2">
    <dataField name="Sum of Total Interviewed" fld="7" baseField="0" baseItem="0"/>
    <dataField name="Sum of Total Reject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62:C67" firstHeaderRow="0" firstDataRow="1" firstDataCol="1"/>
  <pivotFields count="20">
    <pivotField numFmtId="14" showAll="0"/>
    <pivotField showAll="0">
      <items count="6">
        <item x="3"/>
        <item x="0"/>
        <item x="2"/>
        <item x="1"/>
        <item x="4"/>
        <item t="default"/>
      </items>
    </pivotField>
    <pivotField axis="axisRow" showAll="0">
      <items count="6">
        <item x="1"/>
        <item x="0"/>
        <item x="3"/>
        <item x="2"/>
        <item x="4"/>
        <item t="default"/>
      </items>
    </pivotField>
    <pivotField showAll="0">
      <items count="6">
        <item x="0"/>
        <item x="2"/>
        <item x="4"/>
        <item x="3"/>
        <item x="1"/>
        <item t="default"/>
      </items>
    </pivotField>
    <pivotField dataField="1" showAll="0"/>
    <pivotField dataField="1" showAll="0"/>
    <pivotField showAll="0"/>
    <pivotField showAll="0"/>
    <pivotField showAll="0"/>
    <pivotField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2"/>
  </rowFields>
  <rowItems count="5">
    <i>
      <x/>
    </i>
    <i>
      <x v="1"/>
    </i>
    <i>
      <x v="2"/>
    </i>
    <i>
      <x v="3"/>
    </i>
    <i>
      <x v="4"/>
    </i>
  </rowItems>
  <colFields count="1">
    <field x="-2"/>
  </colFields>
  <colItems count="2">
    <i>
      <x/>
    </i>
    <i i="1">
      <x v="1"/>
    </i>
  </colItems>
  <dataFields count="2">
    <dataField name="Sum of Total Applications" fld="4" baseField="0" baseItem="0"/>
    <dataField name="Sum of Total Shortlist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84:C89" firstHeaderRow="0" firstDataRow="1" firstDataCol="1"/>
  <pivotFields count="20">
    <pivotField numFmtId="14" showAll="0"/>
    <pivotField showAll="0">
      <items count="6">
        <item x="3"/>
        <item x="0"/>
        <item x="2"/>
        <item x="1"/>
        <item x="4"/>
        <item t="default"/>
      </items>
    </pivotField>
    <pivotField axis="axisRow" showAll="0">
      <items count="6">
        <item x="1"/>
        <item x="0"/>
        <item x="3"/>
        <item x="2"/>
        <item x="4"/>
        <item t="default"/>
      </items>
    </pivotField>
    <pivotField showAll="0">
      <items count="6">
        <item x="0"/>
        <item x="2"/>
        <item x="4"/>
        <item x="3"/>
        <item x="1"/>
        <item t="default"/>
      </items>
    </pivotField>
    <pivotField showAll="0"/>
    <pivotField showAll="0"/>
    <pivotField showAll="0"/>
    <pivotField dataField="1" showAll="0"/>
    <pivotField showAll="0"/>
    <pivotField dataField="1" showAll="0"/>
    <pivotField showAll="0"/>
    <pivotField numFmtId="14" showAll="0"/>
    <pivotField showAll="0"/>
    <pivotField numFmtId="9" showAll="0" defaultSubtotal="0"/>
    <pivotField numFmtId="9" showAll="0" defaultSubtotal="0"/>
    <pivotField numFmtId="9" showAll="0" defaultSubtotal="0"/>
    <pivotField numFmtId="9" showAll="0" defaultSubtotal="0"/>
    <pivotField numFmtId="9" showAll="0" defaultSubtotal="0"/>
    <pivotField numFmtId="9" showAll="0" defaultSubtotal="0"/>
    <pivotField showAll="0" defaultSubtotal="0">
      <items count="3">
        <item x="1"/>
        <item x="0"/>
        <item x="2"/>
      </items>
    </pivotField>
  </pivotFields>
  <rowFields count="1">
    <field x="2"/>
  </rowFields>
  <rowItems count="5">
    <i>
      <x/>
    </i>
    <i>
      <x v="1"/>
    </i>
    <i>
      <x v="2"/>
    </i>
    <i>
      <x v="3"/>
    </i>
    <i>
      <x v="4"/>
    </i>
  </rowItems>
  <colFields count="1">
    <field x="-2"/>
  </colFields>
  <colItems count="2">
    <i>
      <x/>
    </i>
    <i i="1">
      <x v="1"/>
    </i>
  </colItems>
  <dataFields count="2">
    <dataField name="Sum of Total Interviewed" fld="7" baseField="0" baseItem="0"/>
    <dataField name="Sum of Total Selecte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ource" sourceName="Source">
  <pivotTables>
    <pivotTable tabId="2" name="PivotTable14"/>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 tabId="2" name="PivotTable17"/>
    <pivotTable tabId="2" name="PivotTable18"/>
    <pivotTable tabId="2" name="PivotTable19"/>
    <pivotTable tabId="2" name="PivotTable20"/>
    <pivotTable tabId="2" name="PivotTable21"/>
  </pivotTables>
  <data>
    <tabular pivotCacheId="1">
      <items count="5">
        <i x="0" s="1"/>
        <i x="2"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_Title" sourceName="Job Title">
  <pivotTables>
    <pivotTable tabId="2" name="PivotTable14"/>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 tabId="2" name="PivotTable17"/>
    <pivotTable tabId="2" name="PivotTable18"/>
    <pivotTable tabId="2" name="PivotTable19"/>
    <pivotTable tabId="2" name="PivotTable20"/>
    <pivotTable tabId="2" name="PivotTable21"/>
  </pivotTables>
  <data>
    <tabular pivotCacheId="1">
      <items count="5">
        <i x="1" s="1"/>
        <i x="0"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cruiter_Name" sourceName="Recruiter Name">
  <pivotTables>
    <pivotTable tabId="2" name="PivotTable14"/>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 tabId="2" name="PivotTable17"/>
    <pivotTable tabId="2" name="PivotTable18"/>
    <pivotTable tabId="2" name="PivotTable19"/>
    <pivotTable tabId="2" name="PivotTable20"/>
    <pivotTable tabId="2" name="PivotTable21"/>
  </pivotTables>
  <data>
    <tabular pivotCacheId="1">
      <items count="5">
        <i x="3" s="1"/>
        <i x="0"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pening_Month" sourceName="Opening Month">
  <pivotTables>
    <pivotTable tabId="2" name="PivotTable14"/>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 tabId="2" name="PivotTable17"/>
    <pivotTable tabId="2" name="PivotTable18"/>
    <pivotTable tabId="2" name="PivotTable19"/>
    <pivotTable tabId="2" name="PivotTable20"/>
    <pivotTable tabId="2" name="PivotTable21"/>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ource 1" cache="Slicer_Source" caption="Source" style="SlicerStyleLight3" rowHeight="241300"/>
  <slicer name="Job Title 1" cache="Slicer_Job_Title" caption="Job Title" style="SlicerStyleLight3" rowHeight="241300"/>
  <slicer name="Recruiter Name 1" cache="Slicer_Recruiter_Name" caption="Recruiter Name" style="SlicerStyleLight3" rowHeight="241300"/>
  <slicer name="Opening Month 1" cache="Slicer_Opening_Month" caption="Opening Month"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ource" cache="Slicer_Source" caption="Source" style="SlicerStyleLight3" rowHeight="241300"/>
  <slicer name="Job Title" cache="Slicer_Job_Title" caption="Job Title" style="SlicerStyleLight3" rowHeight="241300"/>
  <slicer name="Recruiter Name" cache="Slicer_Recruiter_Name" caption="Recruiter Name" style="SlicerStyleLight3" rowHeight="241300"/>
  <slicer name="Opening Month" cache="Slicer_Opening_Month" caption="Opening Month" style="SlicerStyleLight3" rowHeight="241300"/>
</slicers>
</file>

<file path=xl/tables/table1.xml><?xml version="1.0" encoding="utf-8"?>
<table xmlns="http://schemas.openxmlformats.org/spreadsheetml/2006/main" id="1" name="Table1" displayName="Table1" ref="A1:T31" totalsRowShown="0" headerRowDxfId="23" dataDxfId="21" headerRowBorderDxfId="22" tableBorderDxfId="20">
  <autoFilter ref="A1:T31"/>
  <sortState ref="A2:N31">
    <sortCondition ref="N1:N31"/>
  </sortState>
  <tableColumns count="20">
    <tableColumn id="1" name="Job Opening Date" dataDxfId="19"/>
    <tableColumn id="2" name="Recruiter Name" dataDxfId="18"/>
    <tableColumn id="3" name="Job Title" dataDxfId="17"/>
    <tableColumn id="4" name="Source" dataDxfId="16"/>
    <tableColumn id="5" name="Total Applications" dataDxfId="15"/>
    <tableColumn id="6" name="Total Shortlisted" dataDxfId="14"/>
    <tableColumn id="7" name="Total Contacted" dataDxfId="13"/>
    <tableColumn id="8" name="Total Interviewed" dataDxfId="12"/>
    <tableColumn id="9" name="Total Rejected" dataDxfId="11"/>
    <tableColumn id="10" name="Total Selected" dataDxfId="10"/>
    <tableColumn id="11" name="Total Hired" dataDxfId="9"/>
    <tableColumn id="13" name="Final Joining Date" dataDxfId="8"/>
    <tableColumn id="15" name="Process Duration" dataDxfId="7">
      <calculatedColumnFormula>IFERROR(MAX(Table1[[#This Row],[Final Joining Date]]-Table1[[#This Row],[Job Opening Date]], 0), 0)</calculatedColumnFormula>
    </tableColumn>
    <tableColumn id="12" name="Application To Shortlisted%" dataDxfId="6" dataCellStyle="Percent">
      <calculatedColumnFormula>Table1[[#This Row],[Total Shortlisted]]/Table1[[#This Row],[Total Applications]]</calculatedColumnFormula>
    </tableColumn>
    <tableColumn id="14" name=" Shortlisted  to Contacted %" dataDxfId="5" dataCellStyle="Percent">
      <calculatedColumnFormula>Table1[[#This Row],[Total Contacted]]/Table1[[#This Row],[Total Shortlisted]]</calculatedColumnFormula>
    </tableColumn>
    <tableColumn id="16" name="Contacted to Interviewd %" dataDxfId="4" dataCellStyle="Percent">
      <calculatedColumnFormula>Table1[[#This Row],[Total Interviewed]]/Table1[[#This Row],[Total Contacted]]</calculatedColumnFormula>
    </tableColumn>
    <tableColumn id="17" name="Interviewed To Rejected" dataDxfId="3" dataCellStyle="Percent">
      <calculatedColumnFormula>Table1[[#This Row],[Total Rejected]]/Table1[[#This Row],[Total Interviewed]]</calculatedColumnFormula>
    </tableColumn>
    <tableColumn id="18" name="Interviewed To Selected" dataDxfId="2" dataCellStyle="Percent">
      <calculatedColumnFormula>Table1[[#This Row],[Total Selected]]/Table1[[#This Row],[Total Interviewed]]</calculatedColumnFormula>
    </tableColumn>
    <tableColumn id="19" name="Selected To Hired" dataDxfId="1" dataCellStyle="Percent">
      <calculatedColumnFormula>Table1[[#This Row],[Total Hired]]/Table1[[#This Row],[Total Selected]]</calculatedColumnFormula>
    </tableColumn>
    <tableColumn id="20" name="Opening Month" dataDxfId="0" dataCellStyle="Percent">
      <calculatedColumnFormula>TEXT(A2, "mmm")</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04"/>
  <sheetViews>
    <sheetView topLeftCell="A98" workbookViewId="0">
      <selection activeCell="J13" sqref="J13:L14"/>
    </sheetView>
  </sheetViews>
  <sheetFormatPr defaultRowHeight="14.25"/>
  <cols>
    <col min="1" max="1" width="17.125" customWidth="1"/>
    <col min="2" max="2" width="23.625" customWidth="1"/>
    <col min="3" max="3" width="22.625" customWidth="1"/>
    <col min="4" max="4" width="22" customWidth="1"/>
    <col min="5" max="5" width="23.375" customWidth="1"/>
    <col min="6" max="6" width="20.75" customWidth="1"/>
    <col min="7" max="7" width="20.625" customWidth="1"/>
    <col min="8" max="8" width="17.625" customWidth="1"/>
    <col min="9" max="9" width="22" customWidth="1"/>
    <col min="10" max="10" width="24" bestFit="1" customWidth="1"/>
    <col min="11" max="11" width="9.875" bestFit="1" customWidth="1"/>
    <col min="12" max="12" width="5.5" bestFit="1" customWidth="1"/>
    <col min="13" max="27" width="4.5" customWidth="1"/>
    <col min="28" max="28" width="5.5" customWidth="1"/>
    <col min="29" max="29" width="23.375" bestFit="1" customWidth="1"/>
    <col min="30" max="54" width="4.5" customWidth="1"/>
    <col min="55" max="55" width="5.5" customWidth="1"/>
  </cols>
  <sheetData>
    <row r="3" spans="1:12" ht="15">
      <c r="A3" s="8" t="s">
        <v>30</v>
      </c>
      <c r="B3" t="s">
        <v>28</v>
      </c>
      <c r="C3" t="s">
        <v>29</v>
      </c>
      <c r="D3" t="s">
        <v>31</v>
      </c>
      <c r="E3" t="s">
        <v>1</v>
      </c>
      <c r="F3" t="str">
        <f>B3</f>
        <v>Sum of Total Applications</v>
      </c>
      <c r="G3" t="str">
        <f>C3</f>
        <v>Sum of Total Shortlisted</v>
      </c>
      <c r="H3" s="10" t="str">
        <f>D3</f>
        <v>Total Application To Shorlisted</v>
      </c>
      <c r="J3" s="14"/>
    </row>
    <row r="4" spans="1:12">
      <c r="A4" s="9" t="s">
        <v>22</v>
      </c>
      <c r="B4" s="7">
        <v>712</v>
      </c>
      <c r="C4" s="7">
        <v>567</v>
      </c>
      <c r="D4" s="10">
        <f>GETPIVOTDATA("Sum of Total Shortlisted",$A$3,"Recruiter Name","Alice Smith")/GETPIVOTDATA("Sum of Total Applications",$A$3,"Recruiter Name","Alice Smith")</f>
        <v>0.7963483146067416</v>
      </c>
      <c r="E4" t="str">
        <f>A4</f>
        <v>Alice Smith</v>
      </c>
      <c r="F4">
        <f t="shared" ref="F4:F8" si="0">B4</f>
        <v>712</v>
      </c>
      <c r="G4">
        <f t="shared" ref="G4:G8" si="1">C4</f>
        <v>567</v>
      </c>
      <c r="H4" s="10">
        <f t="shared" ref="H4:H8" si="2">D4</f>
        <v>0.7963483146067416</v>
      </c>
      <c r="J4" s="7"/>
    </row>
    <row r="5" spans="1:12">
      <c r="A5" s="9" t="s">
        <v>13</v>
      </c>
      <c r="B5" s="7">
        <v>707</v>
      </c>
      <c r="C5" s="7">
        <v>549</v>
      </c>
      <c r="D5" s="10">
        <f>GETPIVOTDATA("Sum of Total Shortlisted",$A$3,"Recruiter Name","John Doe")/GETPIVOTDATA("Sum of Total Applications",$A$3,"Recruiter Name","John Doe")</f>
        <v>0.77652050919377658</v>
      </c>
      <c r="E5" t="str">
        <f t="shared" ref="E5:E8" si="3">A5</f>
        <v>John Doe</v>
      </c>
      <c r="F5">
        <f t="shared" si="0"/>
        <v>707</v>
      </c>
      <c r="G5">
        <f t="shared" si="1"/>
        <v>549</v>
      </c>
      <c r="H5" s="10">
        <f t="shared" si="2"/>
        <v>0.77652050919377658</v>
      </c>
    </row>
    <row r="6" spans="1:12">
      <c r="A6" s="9" t="s">
        <v>20</v>
      </c>
      <c r="B6" s="7">
        <v>844</v>
      </c>
      <c r="C6" s="7">
        <v>631</v>
      </c>
      <c r="D6" s="10">
        <f>GETPIVOTDATA("Sum of Total Shortlisted",$A$3,"Recruiter Name","Maria Garcia")/GETPIVOTDATA("Sum of Total Applications",$A$3,"Recruiter Name","Maria Garcia")</f>
        <v>0.74763033175355453</v>
      </c>
      <c r="E6" t="str">
        <f t="shared" si="3"/>
        <v>Maria Garcia</v>
      </c>
      <c r="F6">
        <f t="shared" si="0"/>
        <v>844</v>
      </c>
      <c r="G6">
        <f t="shared" si="1"/>
        <v>631</v>
      </c>
      <c r="H6" s="10">
        <f t="shared" si="2"/>
        <v>0.74763033175355453</v>
      </c>
    </row>
    <row r="7" spans="1:12">
      <c r="A7" s="9" t="s">
        <v>16</v>
      </c>
      <c r="B7" s="7">
        <v>521</v>
      </c>
      <c r="C7" s="7">
        <v>372</v>
      </c>
      <c r="D7" s="10">
        <f>GETPIVOTDATA("Sum of Total Shortlisted",$A$3,"Recruiter Name","Nina Patel")/GETPIVOTDATA("Sum of Total Applications",$A$3,"Recruiter Name","Nina Patel")</f>
        <v>0.71401151631477922</v>
      </c>
      <c r="E7" t="str">
        <f t="shared" si="3"/>
        <v>Nina Patel</v>
      </c>
      <c r="F7">
        <f t="shared" si="0"/>
        <v>521</v>
      </c>
      <c r="G7">
        <f t="shared" si="1"/>
        <v>372</v>
      </c>
      <c r="H7" s="10">
        <f t="shared" si="2"/>
        <v>0.71401151631477922</v>
      </c>
    </row>
    <row r="8" spans="1:12">
      <c r="A8" s="9" t="s">
        <v>25</v>
      </c>
      <c r="B8" s="7">
        <v>921</v>
      </c>
      <c r="C8" s="7">
        <v>654</v>
      </c>
      <c r="D8" s="10">
        <f>GETPIVOTDATA("Sum of Total Shortlisted",$A$3,"Recruiter Name","Tom Lee")/GETPIVOTDATA("Sum of Total Applications",$A$3,"Recruiter Name","Tom Lee")</f>
        <v>0.71009771986970682</v>
      </c>
      <c r="E8" t="str">
        <f t="shared" si="3"/>
        <v>Tom Lee</v>
      </c>
      <c r="F8">
        <f t="shared" si="0"/>
        <v>921</v>
      </c>
      <c r="G8">
        <f t="shared" si="1"/>
        <v>654</v>
      </c>
      <c r="H8" s="10">
        <f t="shared" si="2"/>
        <v>0.71009771986970682</v>
      </c>
    </row>
    <row r="11" spans="1:12">
      <c r="A11" t="s">
        <v>28</v>
      </c>
      <c r="B11" t="s">
        <v>29</v>
      </c>
      <c r="C11" t="s">
        <v>32</v>
      </c>
      <c r="D11" t="s">
        <v>65</v>
      </c>
      <c r="E11" t="s">
        <v>64</v>
      </c>
    </row>
    <row r="12" spans="1:12">
      <c r="A12" s="7">
        <v>3705</v>
      </c>
      <c r="B12" s="7">
        <v>2773</v>
      </c>
      <c r="C12" s="10">
        <f>GETPIVOTDATA("Sum of Total Shortlisted",$A$11)/GETPIVOTDATA("Sum of Total Applications",$A$11)</f>
        <v>0.74844804318488534</v>
      </c>
      <c r="D12" s="15">
        <f>1-C12</f>
        <v>0.25155195681511466</v>
      </c>
      <c r="E12" s="15">
        <v>1</v>
      </c>
    </row>
    <row r="13" spans="1:12">
      <c r="A13" s="8" t="s">
        <v>30</v>
      </c>
      <c r="B13" t="s">
        <v>29</v>
      </c>
      <c r="C13" t="s">
        <v>33</v>
      </c>
      <c r="D13" t="s">
        <v>1</v>
      </c>
      <c r="E13" t="s">
        <v>35</v>
      </c>
      <c r="F13" t="s">
        <v>36</v>
      </c>
      <c r="G13" t="s">
        <v>34</v>
      </c>
      <c r="H13" t="s">
        <v>29</v>
      </c>
      <c r="I13" t="s">
        <v>33</v>
      </c>
      <c r="J13" t="s">
        <v>55</v>
      </c>
      <c r="K13" t="s">
        <v>65</v>
      </c>
      <c r="L13" t="s">
        <v>64</v>
      </c>
    </row>
    <row r="14" spans="1:12">
      <c r="A14" s="9" t="s">
        <v>22</v>
      </c>
      <c r="B14" s="7">
        <v>567</v>
      </c>
      <c r="C14" s="7">
        <v>377</v>
      </c>
      <c r="D14" t="str">
        <f>A14</f>
        <v>Alice Smith</v>
      </c>
      <c r="E14">
        <f>B14:B18</f>
        <v>567</v>
      </c>
      <c r="F14">
        <f>C14</f>
        <v>377</v>
      </c>
      <c r="G14" s="10">
        <f>GETPIVOTDATA("Sum of Total Contacted",$A$13,"Recruiter Name","Alice Smith")/GETPIVOTDATA("Sum of Total Shortlisted",$A$13,"Recruiter Name","Alice Smith")</f>
        <v>0.66490299823633159</v>
      </c>
      <c r="H14" s="7">
        <v>2773</v>
      </c>
      <c r="I14" s="7">
        <v>2074</v>
      </c>
      <c r="J14" s="10">
        <f>GETPIVOTDATA("Sum of Total Contacted",$H$13)/GETPIVOTDATA("Sum of Total Shortlisted",$H$13)</f>
        <v>0.74792643346556076</v>
      </c>
      <c r="K14" s="15">
        <f>1-J14</f>
        <v>0.25207356653443924</v>
      </c>
      <c r="L14" s="15">
        <v>1</v>
      </c>
    </row>
    <row r="15" spans="1:12">
      <c r="A15" s="9" t="s">
        <v>13</v>
      </c>
      <c r="B15" s="7">
        <v>549</v>
      </c>
      <c r="C15" s="7">
        <v>400</v>
      </c>
      <c r="D15" t="str">
        <f t="shared" ref="D15:D18" si="4">A15</f>
        <v>John Doe</v>
      </c>
      <c r="E15">
        <f t="shared" ref="E15:E18" si="5">B15:B19</f>
        <v>549</v>
      </c>
      <c r="F15">
        <f t="shared" ref="F15:F18" si="6">C15</f>
        <v>400</v>
      </c>
      <c r="G15" s="10">
        <f>GETPIVOTDATA("Sum of Total Contacted",$A$13,"Recruiter Name","John Doe")/GETPIVOTDATA("Sum of Total Shortlisted",$A$13,"Recruiter Name","John Doe")</f>
        <v>0.72859744990892528</v>
      </c>
    </row>
    <row r="16" spans="1:12">
      <c r="A16" s="9" t="s">
        <v>20</v>
      </c>
      <c r="B16" s="7">
        <v>631</v>
      </c>
      <c r="C16" s="7">
        <v>505</v>
      </c>
      <c r="D16" t="str">
        <f t="shared" si="4"/>
        <v>Maria Garcia</v>
      </c>
      <c r="E16">
        <f t="shared" si="5"/>
        <v>631</v>
      </c>
      <c r="F16">
        <f t="shared" si="6"/>
        <v>505</v>
      </c>
      <c r="G16" s="10">
        <f>GETPIVOTDATA("Sum of Total Contacted",$A$13,"Recruiter Name","Maria Garcia")/GETPIVOTDATA("Sum of Total Shortlisted",$A$13,"Recruiter Name","Maria Garcia")</f>
        <v>0.80031695721077656</v>
      </c>
    </row>
    <row r="17" spans="1:12">
      <c r="A17" s="9" t="s">
        <v>16</v>
      </c>
      <c r="B17" s="7">
        <v>372</v>
      </c>
      <c r="C17" s="7">
        <v>282</v>
      </c>
      <c r="D17" t="str">
        <f t="shared" si="4"/>
        <v>Nina Patel</v>
      </c>
      <c r="E17">
        <f t="shared" si="5"/>
        <v>372</v>
      </c>
      <c r="F17">
        <f t="shared" si="6"/>
        <v>282</v>
      </c>
      <c r="G17" s="10">
        <f>GETPIVOTDATA("Sum of Total Contacted",$A$13,"Recruiter Name","Nina Patel")/GETPIVOTDATA("Sum of Total Shortlisted",$A$13,"Recruiter Name","Nina Patel")</f>
        <v>0.75806451612903225</v>
      </c>
    </row>
    <row r="18" spans="1:12">
      <c r="A18" s="9" t="s">
        <v>25</v>
      </c>
      <c r="B18" s="7">
        <v>654</v>
      </c>
      <c r="C18" s="7">
        <v>510</v>
      </c>
      <c r="D18" t="str">
        <f t="shared" si="4"/>
        <v>Tom Lee</v>
      </c>
      <c r="E18">
        <f t="shared" si="5"/>
        <v>654</v>
      </c>
      <c r="F18">
        <f t="shared" si="6"/>
        <v>510</v>
      </c>
      <c r="G18" s="10">
        <f>GETPIVOTDATA("Sum of Total Contacted",$A$13,"Recruiter Name","Tom Lee")/GETPIVOTDATA("Sum of Total Shortlisted",$A$13,"Recruiter Name","Tom Lee")</f>
        <v>0.77981651376146788</v>
      </c>
    </row>
    <row r="21" spans="1:12">
      <c r="A21" s="8" t="s">
        <v>30</v>
      </c>
      <c r="B21" t="s">
        <v>35</v>
      </c>
      <c r="C21" t="s">
        <v>33</v>
      </c>
      <c r="D21" t="s">
        <v>37</v>
      </c>
      <c r="E21" t="s">
        <v>39</v>
      </c>
      <c r="F21" t="s">
        <v>38</v>
      </c>
      <c r="G21" t="s">
        <v>40</v>
      </c>
    </row>
    <row r="22" spans="1:12">
      <c r="A22" s="9" t="s">
        <v>22</v>
      </c>
      <c r="B22" s="7">
        <v>567</v>
      </c>
      <c r="C22" s="7">
        <v>377</v>
      </c>
      <c r="D22" s="7">
        <v>331</v>
      </c>
      <c r="E22" s="7">
        <v>109</v>
      </c>
      <c r="F22" s="7">
        <v>217</v>
      </c>
      <c r="G22" s="7">
        <v>40</v>
      </c>
    </row>
    <row r="23" spans="1:12">
      <c r="A23" s="9" t="s">
        <v>13</v>
      </c>
      <c r="B23" s="7">
        <v>549</v>
      </c>
      <c r="C23" s="7">
        <v>400</v>
      </c>
      <c r="D23" s="7">
        <v>316</v>
      </c>
      <c r="E23" s="7">
        <v>138</v>
      </c>
      <c r="F23" s="7">
        <v>218</v>
      </c>
      <c r="G23" s="7">
        <v>33</v>
      </c>
    </row>
    <row r="24" spans="1:12">
      <c r="A24" s="9" t="s">
        <v>20</v>
      </c>
      <c r="B24" s="7">
        <v>631</v>
      </c>
      <c r="C24" s="7">
        <v>505</v>
      </c>
      <c r="D24" s="7">
        <v>365</v>
      </c>
      <c r="E24" s="7">
        <v>154</v>
      </c>
      <c r="F24" s="7">
        <v>259</v>
      </c>
      <c r="G24" s="7">
        <v>36</v>
      </c>
    </row>
    <row r="25" spans="1:12">
      <c r="A25" s="9" t="s">
        <v>16</v>
      </c>
      <c r="B25" s="7">
        <v>372</v>
      </c>
      <c r="C25" s="7">
        <v>282</v>
      </c>
      <c r="D25" s="7">
        <v>216</v>
      </c>
      <c r="E25" s="7">
        <v>87</v>
      </c>
      <c r="F25" s="7">
        <v>138</v>
      </c>
      <c r="G25" s="7">
        <v>17</v>
      </c>
    </row>
    <row r="26" spans="1:12">
      <c r="A26" s="9" t="s">
        <v>25</v>
      </c>
      <c r="B26" s="7">
        <v>654</v>
      </c>
      <c r="C26" s="7">
        <v>510</v>
      </c>
      <c r="D26" s="7">
        <v>392</v>
      </c>
      <c r="E26" s="7">
        <v>157</v>
      </c>
      <c r="F26" s="7">
        <v>247</v>
      </c>
      <c r="G26" s="7">
        <v>46</v>
      </c>
    </row>
    <row r="28" spans="1:12">
      <c r="A28" s="8" t="s">
        <v>30</v>
      </c>
      <c r="B28" t="s">
        <v>33</v>
      </c>
      <c r="C28" t="s">
        <v>37</v>
      </c>
      <c r="D28" t="s">
        <v>1</v>
      </c>
      <c r="E28" t="s">
        <v>47</v>
      </c>
      <c r="F28" t="s">
        <v>48</v>
      </c>
      <c r="G28" t="s">
        <v>49</v>
      </c>
      <c r="H28" t="s">
        <v>33</v>
      </c>
      <c r="I28" t="s">
        <v>37</v>
      </c>
      <c r="J28" t="s">
        <v>57</v>
      </c>
      <c r="K28" t="s">
        <v>63</v>
      </c>
      <c r="L28" t="s">
        <v>64</v>
      </c>
    </row>
    <row r="29" spans="1:12">
      <c r="A29" s="9" t="s">
        <v>22</v>
      </c>
      <c r="B29" s="7">
        <v>377</v>
      </c>
      <c r="C29" s="7">
        <v>331</v>
      </c>
      <c r="D29" t="str">
        <f>A29</f>
        <v>Alice Smith</v>
      </c>
      <c r="E29">
        <f>GETPIVOTDATA("Sum of Total Contacted",$A$28,"Recruiter Name","Alice Smith")</f>
        <v>377</v>
      </c>
      <c r="F29">
        <f>C29:C33</f>
        <v>331</v>
      </c>
      <c r="G29" s="10">
        <f>GETPIVOTDATA("Sum of Total Interviewed",$A$28,"Recruiter Name","Alice Smith")/GETPIVOTDATA("Sum of Total Contacted",$A$28,"Recruiter Name","Alice Smith")</f>
        <v>0.87798408488063662</v>
      </c>
      <c r="H29" s="7">
        <v>2074</v>
      </c>
      <c r="I29" s="7">
        <v>1620</v>
      </c>
      <c r="J29" s="10">
        <f>GETPIVOTDATA("Sum of Total Interviewed",$H$28)/GETPIVOTDATA("Sum of Total Contacted",$H$28)</f>
        <v>0.78109932497589196</v>
      </c>
      <c r="K29" s="15">
        <f>1-J29</f>
        <v>0.21890067502410804</v>
      </c>
      <c r="L29" s="15">
        <v>1</v>
      </c>
    </row>
    <row r="30" spans="1:12">
      <c r="A30" s="9" t="s">
        <v>13</v>
      </c>
      <c r="B30" s="7">
        <v>400</v>
      </c>
      <c r="C30" s="7">
        <v>316</v>
      </c>
      <c r="D30" t="str">
        <f t="shared" ref="D30:D33" si="7">A30</f>
        <v>John Doe</v>
      </c>
      <c r="E30">
        <f>GETPIVOTDATA("Sum of Total Contacted",$A$28,"Recruiter Name","John Doe")</f>
        <v>400</v>
      </c>
      <c r="F30">
        <f t="shared" ref="F30:F33" si="8">C30:C34</f>
        <v>316</v>
      </c>
      <c r="G30" s="10">
        <f>C30:C33/B30:B33</f>
        <v>0.79</v>
      </c>
    </row>
    <row r="31" spans="1:12">
      <c r="A31" s="9" t="s">
        <v>20</v>
      </c>
      <c r="B31" s="7">
        <v>505</v>
      </c>
      <c r="C31" s="7">
        <v>365</v>
      </c>
      <c r="D31" t="str">
        <f t="shared" si="7"/>
        <v>Maria Garcia</v>
      </c>
      <c r="E31">
        <f>B31:B33</f>
        <v>505</v>
      </c>
      <c r="F31">
        <f t="shared" si="8"/>
        <v>365</v>
      </c>
      <c r="G31" s="10">
        <f t="shared" ref="G31:G33" si="9">C31:C34/B31:B34</f>
        <v>0.72277227722772275</v>
      </c>
    </row>
    <row r="32" spans="1:12">
      <c r="A32" s="9" t="s">
        <v>16</v>
      </c>
      <c r="B32" s="7">
        <v>282</v>
      </c>
      <c r="C32" s="7">
        <v>216</v>
      </c>
      <c r="D32" t="str">
        <f t="shared" si="7"/>
        <v>Nina Patel</v>
      </c>
      <c r="E32">
        <f t="shared" ref="E32:E33" si="10">B32:B34</f>
        <v>282</v>
      </c>
      <c r="F32">
        <f t="shared" si="8"/>
        <v>216</v>
      </c>
      <c r="G32" s="10">
        <f t="shared" si="9"/>
        <v>0.76595744680851063</v>
      </c>
    </row>
    <row r="33" spans="1:12">
      <c r="A33" s="9" t="s">
        <v>25</v>
      </c>
      <c r="B33" s="7">
        <v>510</v>
      </c>
      <c r="C33" s="7">
        <v>392</v>
      </c>
      <c r="D33" t="str">
        <f t="shared" si="7"/>
        <v>Tom Lee</v>
      </c>
      <c r="E33">
        <f t="shared" si="10"/>
        <v>510</v>
      </c>
      <c r="F33">
        <f t="shared" si="8"/>
        <v>392</v>
      </c>
      <c r="G33" s="10">
        <f t="shared" si="9"/>
        <v>0.7686274509803922</v>
      </c>
    </row>
    <row r="34" spans="1:12">
      <c r="A34" s="8" t="s">
        <v>30</v>
      </c>
      <c r="B34" t="s">
        <v>37</v>
      </c>
      <c r="C34" t="s">
        <v>39</v>
      </c>
      <c r="D34" t="s">
        <v>1</v>
      </c>
      <c r="E34" t="s">
        <v>48</v>
      </c>
      <c r="F34" t="s">
        <v>50</v>
      </c>
      <c r="G34" t="s">
        <v>51</v>
      </c>
      <c r="H34" t="s">
        <v>37</v>
      </c>
      <c r="I34" t="s">
        <v>39</v>
      </c>
      <c r="J34" t="s">
        <v>58</v>
      </c>
      <c r="K34" t="s">
        <v>63</v>
      </c>
      <c r="L34" t="s">
        <v>64</v>
      </c>
    </row>
    <row r="35" spans="1:12">
      <c r="A35" s="9" t="s">
        <v>22</v>
      </c>
      <c r="B35" s="7">
        <v>331</v>
      </c>
      <c r="C35" s="7">
        <v>109</v>
      </c>
      <c r="D35" t="str">
        <f>A35:A39</f>
        <v>Alice Smith</v>
      </c>
      <c r="E35">
        <f>B35:B39</f>
        <v>331</v>
      </c>
      <c r="F35">
        <f>C35:C39</f>
        <v>109</v>
      </c>
      <c r="G35" s="10">
        <f>C35:C39/B35:B39</f>
        <v>0.32930513595166161</v>
      </c>
      <c r="H35" s="7">
        <v>1620</v>
      </c>
      <c r="I35" s="7">
        <v>645</v>
      </c>
      <c r="J35" s="10">
        <f>GETPIVOTDATA("Sum of Total Selected",$H$34)/GETPIVOTDATA("Sum of Total Interviewed",$H$34)</f>
        <v>0.39814814814814814</v>
      </c>
      <c r="K35" s="15">
        <f>1-J35</f>
        <v>0.60185185185185186</v>
      </c>
      <c r="L35" s="15">
        <v>1</v>
      </c>
    </row>
    <row r="36" spans="1:12">
      <c r="A36" s="9" t="s">
        <v>13</v>
      </c>
      <c r="B36" s="7">
        <v>316</v>
      </c>
      <c r="C36" s="7">
        <v>138</v>
      </c>
      <c r="D36" t="str">
        <f t="shared" ref="D36:D39" si="11">A36:A40</f>
        <v>John Doe</v>
      </c>
      <c r="E36">
        <f t="shared" ref="E36:E39" si="12">B36:B40</f>
        <v>316</v>
      </c>
      <c r="F36">
        <f t="shared" ref="F36:F39" si="13">C36:C40</f>
        <v>138</v>
      </c>
      <c r="G36" s="10">
        <f t="shared" ref="G36:G39" si="14">C36:C40/B36:B40</f>
        <v>0.43670886075949367</v>
      </c>
    </row>
    <row r="37" spans="1:12">
      <c r="A37" s="9" t="s">
        <v>20</v>
      </c>
      <c r="B37" s="7">
        <v>365</v>
      </c>
      <c r="C37" s="7">
        <v>154</v>
      </c>
      <c r="D37" t="str">
        <f t="shared" si="11"/>
        <v>Maria Garcia</v>
      </c>
      <c r="E37">
        <f t="shared" si="12"/>
        <v>365</v>
      </c>
      <c r="F37">
        <f t="shared" si="13"/>
        <v>154</v>
      </c>
      <c r="G37" s="10">
        <f t="shared" si="14"/>
        <v>0.42191780821917807</v>
      </c>
    </row>
    <row r="38" spans="1:12">
      <c r="A38" s="9" t="s">
        <v>16</v>
      </c>
      <c r="B38" s="7">
        <v>216</v>
      </c>
      <c r="C38" s="7">
        <v>87</v>
      </c>
      <c r="D38" t="str">
        <f t="shared" si="11"/>
        <v>Nina Patel</v>
      </c>
      <c r="E38">
        <f t="shared" si="12"/>
        <v>216</v>
      </c>
      <c r="F38">
        <f t="shared" si="13"/>
        <v>87</v>
      </c>
      <c r="G38" s="10">
        <f t="shared" si="14"/>
        <v>0.40277777777777779</v>
      </c>
    </row>
    <row r="39" spans="1:12">
      <c r="A39" s="9" t="s">
        <v>25</v>
      </c>
      <c r="B39" s="7">
        <v>392</v>
      </c>
      <c r="C39" s="7">
        <v>157</v>
      </c>
      <c r="D39" t="str">
        <f t="shared" si="11"/>
        <v>Tom Lee</v>
      </c>
      <c r="E39">
        <f t="shared" si="12"/>
        <v>392</v>
      </c>
      <c r="F39">
        <f t="shared" si="13"/>
        <v>157</v>
      </c>
      <c r="G39" s="10">
        <f t="shared" si="14"/>
        <v>0.40051020408163263</v>
      </c>
    </row>
    <row r="41" spans="1:12">
      <c r="A41" s="8" t="s">
        <v>30</v>
      </c>
      <c r="B41" t="s">
        <v>37</v>
      </c>
      <c r="C41" t="s">
        <v>38</v>
      </c>
      <c r="D41" t="s">
        <v>1</v>
      </c>
      <c r="E41" t="s">
        <v>48</v>
      </c>
      <c r="F41" t="s">
        <v>52</v>
      </c>
      <c r="G41" t="s">
        <v>53</v>
      </c>
      <c r="H41" t="s">
        <v>37</v>
      </c>
      <c r="I41" t="s">
        <v>38</v>
      </c>
      <c r="J41" t="s">
        <v>56</v>
      </c>
      <c r="K41" t="s">
        <v>63</v>
      </c>
      <c r="L41" t="s">
        <v>64</v>
      </c>
    </row>
    <row r="42" spans="1:12">
      <c r="A42" s="9" t="s">
        <v>22</v>
      </c>
      <c r="B42" s="7">
        <v>331</v>
      </c>
      <c r="C42" s="7">
        <v>217</v>
      </c>
      <c r="D42" t="str">
        <f>A42:A46</f>
        <v>Alice Smith</v>
      </c>
      <c r="E42">
        <f>B42:B45</f>
        <v>331</v>
      </c>
      <c r="F42">
        <f>C42:C46</f>
        <v>217</v>
      </c>
      <c r="G42" s="10">
        <f>C42:C46/B42:B46</f>
        <v>0.65558912386706947</v>
      </c>
      <c r="H42" s="7">
        <v>1620</v>
      </c>
      <c r="I42" s="7">
        <v>1079</v>
      </c>
      <c r="J42" s="10">
        <f>GETPIVOTDATA("Sum of Total Rejected",$H$41)/GETPIVOTDATA("Sum of Total Interviewed",$H$41)</f>
        <v>0.66604938271604941</v>
      </c>
      <c r="K42" s="15">
        <f>1-J42</f>
        <v>0.33395061728395059</v>
      </c>
      <c r="L42" s="15">
        <v>1</v>
      </c>
    </row>
    <row r="43" spans="1:12">
      <c r="A43" s="9" t="s">
        <v>13</v>
      </c>
      <c r="B43" s="7">
        <v>316</v>
      </c>
      <c r="C43" s="7">
        <v>218</v>
      </c>
      <c r="D43" t="str">
        <f t="shared" ref="D43:D46" si="15">A43:A47</f>
        <v>John Doe</v>
      </c>
      <c r="E43">
        <f t="shared" ref="E43:E45" si="16">B43:B46</f>
        <v>316</v>
      </c>
      <c r="F43">
        <f t="shared" ref="F43:F46" si="17">C43:C47</f>
        <v>218</v>
      </c>
      <c r="G43" s="10">
        <f t="shared" ref="G43:G46" si="18">C43:C47/B43:B47</f>
        <v>0.689873417721519</v>
      </c>
    </row>
    <row r="44" spans="1:12">
      <c r="A44" s="9" t="s">
        <v>20</v>
      </c>
      <c r="B44" s="7">
        <v>365</v>
      </c>
      <c r="C44" s="7">
        <v>259</v>
      </c>
      <c r="D44" t="str">
        <f t="shared" si="15"/>
        <v>Maria Garcia</v>
      </c>
      <c r="E44">
        <f t="shared" si="16"/>
        <v>365</v>
      </c>
      <c r="F44">
        <f t="shared" si="17"/>
        <v>259</v>
      </c>
      <c r="G44" s="10">
        <f t="shared" si="18"/>
        <v>0.70958904109589038</v>
      </c>
    </row>
    <row r="45" spans="1:12">
      <c r="A45" s="9" t="s">
        <v>16</v>
      </c>
      <c r="B45" s="7">
        <v>216</v>
      </c>
      <c r="C45" s="7">
        <v>138</v>
      </c>
      <c r="D45" t="str">
        <f t="shared" si="15"/>
        <v>Nina Patel</v>
      </c>
      <c r="E45">
        <f t="shared" si="16"/>
        <v>216</v>
      </c>
      <c r="F45">
        <f t="shared" si="17"/>
        <v>138</v>
      </c>
      <c r="G45" s="10">
        <f t="shared" si="18"/>
        <v>0.63888888888888884</v>
      </c>
    </row>
    <row r="46" spans="1:12">
      <c r="A46" s="9" t="s">
        <v>25</v>
      </c>
      <c r="B46" s="7">
        <v>392</v>
      </c>
      <c r="C46" s="7">
        <v>247</v>
      </c>
      <c r="D46" t="str">
        <f t="shared" si="15"/>
        <v>Tom Lee</v>
      </c>
      <c r="E46">
        <f>B42:B46</f>
        <v>392</v>
      </c>
      <c r="F46">
        <f t="shared" si="17"/>
        <v>247</v>
      </c>
      <c r="G46" s="10">
        <f t="shared" si="18"/>
        <v>0.63010204081632648</v>
      </c>
    </row>
    <row r="48" spans="1:12">
      <c r="A48" s="8" t="s">
        <v>30</v>
      </c>
      <c r="B48" t="s">
        <v>39</v>
      </c>
      <c r="C48" t="s">
        <v>40</v>
      </c>
      <c r="D48" t="s">
        <v>1</v>
      </c>
      <c r="E48" t="s">
        <v>50</v>
      </c>
      <c r="F48" t="s">
        <v>54</v>
      </c>
      <c r="G48" t="s">
        <v>46</v>
      </c>
      <c r="H48" t="s">
        <v>39</v>
      </c>
      <c r="I48" t="s">
        <v>40</v>
      </c>
      <c r="J48" t="s">
        <v>59</v>
      </c>
      <c r="K48" t="s">
        <v>65</v>
      </c>
      <c r="L48" t="s">
        <v>64</v>
      </c>
    </row>
    <row r="49" spans="1:12">
      <c r="A49" s="9" t="s">
        <v>22</v>
      </c>
      <c r="B49" s="7">
        <v>109</v>
      </c>
      <c r="C49" s="7">
        <v>40</v>
      </c>
      <c r="D49" t="str">
        <f>A49:A53</f>
        <v>Alice Smith</v>
      </c>
      <c r="E49">
        <f>B49:B53</f>
        <v>109</v>
      </c>
      <c r="F49">
        <f>C49:C53</f>
        <v>40</v>
      </c>
      <c r="G49" s="10">
        <f>C49:C53/B49:B53</f>
        <v>0.3669724770642202</v>
      </c>
      <c r="H49" s="7">
        <v>645</v>
      </c>
      <c r="I49" s="7">
        <v>172</v>
      </c>
      <c r="J49" s="10">
        <f>GETPIVOTDATA("Sum of Total Hired",$H$48)/GETPIVOTDATA("Sum of Total Selected",$H$48)</f>
        <v>0.26666666666666666</v>
      </c>
      <c r="K49" s="15">
        <f>1-J49</f>
        <v>0.73333333333333339</v>
      </c>
      <c r="L49" s="15">
        <v>1</v>
      </c>
    </row>
    <row r="50" spans="1:12">
      <c r="A50" s="9" t="s">
        <v>13</v>
      </c>
      <c r="B50" s="7">
        <v>138</v>
      </c>
      <c r="C50" s="7">
        <v>33</v>
      </c>
      <c r="D50" t="str">
        <f t="shared" ref="D50:E53" si="19">A50:A54</f>
        <v>John Doe</v>
      </c>
      <c r="E50">
        <f t="shared" si="19"/>
        <v>138</v>
      </c>
      <c r="F50">
        <f t="shared" ref="F50:F53" si="20">C50:C54</f>
        <v>33</v>
      </c>
      <c r="G50" s="10">
        <f t="shared" ref="G50:G53" si="21">C50:C54/B50:B54</f>
        <v>0.2391304347826087</v>
      </c>
    </row>
    <row r="51" spans="1:12">
      <c r="A51" s="9" t="s">
        <v>20</v>
      </c>
      <c r="B51" s="7">
        <v>154</v>
      </c>
      <c r="C51" s="7">
        <v>36</v>
      </c>
      <c r="D51" t="str">
        <f t="shared" si="19"/>
        <v>Maria Garcia</v>
      </c>
      <c r="E51">
        <f t="shared" si="19"/>
        <v>154</v>
      </c>
      <c r="F51">
        <f t="shared" si="20"/>
        <v>36</v>
      </c>
      <c r="G51" s="10">
        <f t="shared" si="21"/>
        <v>0.23376623376623376</v>
      </c>
    </row>
    <row r="52" spans="1:12">
      <c r="A52" s="9" t="s">
        <v>16</v>
      </c>
      <c r="B52" s="7">
        <v>87</v>
      </c>
      <c r="C52" s="7">
        <v>17</v>
      </c>
      <c r="D52" t="str">
        <f t="shared" si="19"/>
        <v>Nina Patel</v>
      </c>
      <c r="E52">
        <f t="shared" si="19"/>
        <v>87</v>
      </c>
      <c r="F52">
        <f t="shared" si="20"/>
        <v>17</v>
      </c>
      <c r="G52" s="10">
        <f t="shared" si="21"/>
        <v>0.19540229885057472</v>
      </c>
    </row>
    <row r="53" spans="1:12">
      <c r="A53" s="9" t="s">
        <v>25</v>
      </c>
      <c r="B53" s="7">
        <v>157</v>
      </c>
      <c r="C53" s="7">
        <v>46</v>
      </c>
      <c r="D53" t="str">
        <f t="shared" si="19"/>
        <v>Tom Lee</v>
      </c>
      <c r="E53">
        <f t="shared" si="19"/>
        <v>157</v>
      </c>
      <c r="F53">
        <f t="shared" si="20"/>
        <v>46</v>
      </c>
      <c r="G53" s="10">
        <f t="shared" si="21"/>
        <v>0.2929936305732484</v>
      </c>
      <c r="H53" s="8" t="s">
        <v>30</v>
      </c>
      <c r="I53" t="s">
        <v>61</v>
      </c>
    </row>
    <row r="54" spans="1:12">
      <c r="H54" s="9" t="s">
        <v>22</v>
      </c>
      <c r="I54" s="7">
        <v>217</v>
      </c>
    </row>
    <row r="55" spans="1:12">
      <c r="A55" s="8" t="s">
        <v>30</v>
      </c>
      <c r="B55" t="s">
        <v>39</v>
      </c>
      <c r="C55" t="s">
        <v>40</v>
      </c>
      <c r="D55" t="s">
        <v>2</v>
      </c>
      <c r="E55" t="s">
        <v>46</v>
      </c>
      <c r="H55" s="9" t="s">
        <v>13</v>
      </c>
      <c r="I55" s="7">
        <v>218</v>
      </c>
    </row>
    <row r="56" spans="1:12">
      <c r="A56" s="9" t="s">
        <v>17</v>
      </c>
      <c r="B56" s="7">
        <v>99</v>
      </c>
      <c r="C56" s="7">
        <v>27</v>
      </c>
      <c r="D56" t="str">
        <f>A56:A60</f>
        <v>Backend Developer</v>
      </c>
      <c r="E56" s="10">
        <f>C56:C60/B56:B60</f>
        <v>0.27272727272727271</v>
      </c>
      <c r="H56" s="9" t="s">
        <v>20</v>
      </c>
      <c r="I56" s="7">
        <v>259</v>
      </c>
    </row>
    <row r="57" spans="1:12">
      <c r="A57" s="9" t="s">
        <v>14</v>
      </c>
      <c r="B57" s="7">
        <v>158</v>
      </c>
      <c r="C57" s="7">
        <v>36</v>
      </c>
      <c r="D57" t="str">
        <f t="shared" ref="D57:D60" si="22">A57:A61</f>
        <v>Data Analyst</v>
      </c>
      <c r="E57" s="10">
        <f t="shared" ref="E57:E60" si="23">C57:C61/B57:B61</f>
        <v>0.22784810126582278</v>
      </c>
      <c r="H57" s="9" t="s">
        <v>16</v>
      </c>
      <c r="I57" s="7">
        <v>138</v>
      </c>
    </row>
    <row r="58" spans="1:12">
      <c r="A58" s="9" t="s">
        <v>23</v>
      </c>
      <c r="B58" s="7">
        <v>107</v>
      </c>
      <c r="C58" s="7">
        <v>26</v>
      </c>
      <c r="D58" t="str">
        <f t="shared" si="22"/>
        <v>DevOps Engineer</v>
      </c>
      <c r="E58" s="10">
        <f t="shared" si="23"/>
        <v>0.24299065420560748</v>
      </c>
      <c r="H58" s="9" t="s">
        <v>25</v>
      </c>
      <c r="I58" s="7">
        <v>247</v>
      </c>
    </row>
    <row r="59" spans="1:12">
      <c r="A59" s="9" t="s">
        <v>21</v>
      </c>
      <c r="B59" s="7">
        <v>85</v>
      </c>
      <c r="C59" s="7">
        <v>24</v>
      </c>
      <c r="D59" t="str">
        <f t="shared" si="22"/>
        <v>Frontend Developer</v>
      </c>
      <c r="E59" s="10">
        <f t="shared" si="23"/>
        <v>0.28235294117647058</v>
      </c>
    </row>
    <row r="60" spans="1:12">
      <c r="A60" s="9" t="s">
        <v>26</v>
      </c>
      <c r="B60" s="7">
        <v>196</v>
      </c>
      <c r="C60" s="7">
        <v>59</v>
      </c>
      <c r="D60" t="str">
        <f t="shared" si="22"/>
        <v>Software Engineer</v>
      </c>
      <c r="E60" s="10">
        <f t="shared" si="23"/>
        <v>0.30102040816326531</v>
      </c>
    </row>
    <row r="62" spans="1:12">
      <c r="A62" s="8" t="s">
        <v>30</v>
      </c>
      <c r="B62" t="s">
        <v>28</v>
      </c>
      <c r="C62" t="s">
        <v>29</v>
      </c>
      <c r="D62" t="s">
        <v>2</v>
      </c>
      <c r="E62" s="10" t="s">
        <v>62</v>
      </c>
    </row>
    <row r="63" spans="1:12">
      <c r="A63" s="9" t="s">
        <v>17</v>
      </c>
      <c r="B63" s="7">
        <v>620</v>
      </c>
      <c r="C63" s="7">
        <v>448</v>
      </c>
      <c r="D63" t="str">
        <f>A63:A67</f>
        <v>Backend Developer</v>
      </c>
      <c r="E63" s="10">
        <f>C63:C67/B63:B67</f>
        <v>0.72258064516129028</v>
      </c>
    </row>
    <row r="64" spans="1:12">
      <c r="A64" s="9" t="s">
        <v>14</v>
      </c>
      <c r="B64" s="7">
        <v>819</v>
      </c>
      <c r="C64" s="7">
        <v>667</v>
      </c>
      <c r="D64" t="str">
        <f t="shared" ref="D64:D67" si="24">A64:A68</f>
        <v>Data Analyst</v>
      </c>
      <c r="E64" s="10">
        <f t="shared" ref="E64:E67" si="25">C64:C68/B64:B68</f>
        <v>0.8144078144078144</v>
      </c>
    </row>
    <row r="65" spans="1:5">
      <c r="A65" s="9" t="s">
        <v>23</v>
      </c>
      <c r="B65" s="7">
        <v>615</v>
      </c>
      <c r="C65" s="7">
        <v>457</v>
      </c>
      <c r="D65" t="str">
        <f t="shared" si="24"/>
        <v>DevOps Engineer</v>
      </c>
      <c r="E65" s="10">
        <f t="shared" si="25"/>
        <v>0.7430894308943089</v>
      </c>
    </row>
    <row r="66" spans="1:5">
      <c r="A66" s="9" t="s">
        <v>21</v>
      </c>
      <c r="B66" s="7">
        <v>480</v>
      </c>
      <c r="C66" s="7">
        <v>368</v>
      </c>
      <c r="D66" t="str">
        <f t="shared" si="24"/>
        <v>Frontend Developer</v>
      </c>
      <c r="E66" s="10">
        <f t="shared" si="25"/>
        <v>0.76666666666666672</v>
      </c>
    </row>
    <row r="67" spans="1:5">
      <c r="A67" s="9" t="s">
        <v>26</v>
      </c>
      <c r="B67" s="7">
        <v>1171</v>
      </c>
      <c r="C67" s="7">
        <v>833</v>
      </c>
      <c r="D67" t="str">
        <f t="shared" si="24"/>
        <v>Software Engineer</v>
      </c>
      <c r="E67" s="10">
        <f t="shared" si="25"/>
        <v>0.71135781383432961</v>
      </c>
    </row>
    <row r="69" spans="1:5">
      <c r="E69" t="s">
        <v>55</v>
      </c>
    </row>
    <row r="70" spans="1:5">
      <c r="A70" s="8" t="s">
        <v>30</v>
      </c>
      <c r="B70" t="s">
        <v>29</v>
      </c>
      <c r="C70" t="s">
        <v>33</v>
      </c>
      <c r="D70" t="s">
        <v>2</v>
      </c>
      <c r="E70" t="s">
        <v>55</v>
      </c>
    </row>
    <row r="71" spans="1:5">
      <c r="A71" s="9" t="s">
        <v>17</v>
      </c>
      <c r="B71" s="7">
        <v>448</v>
      </c>
      <c r="C71" s="7">
        <v>341</v>
      </c>
      <c r="D71" t="str">
        <f>A71:A75</f>
        <v>Backend Developer</v>
      </c>
      <c r="E71" s="10">
        <f>C71:C75/B71:B75</f>
        <v>0.7611607142857143</v>
      </c>
    </row>
    <row r="72" spans="1:5">
      <c r="A72" s="9" t="s">
        <v>14</v>
      </c>
      <c r="B72" s="7">
        <v>667</v>
      </c>
      <c r="C72" s="7">
        <v>450</v>
      </c>
      <c r="D72" t="str">
        <f t="shared" ref="D72:D75" si="26">A72:A76</f>
        <v>Data Analyst</v>
      </c>
      <c r="E72" s="10">
        <f t="shared" ref="E72:E75" si="27">C72:C76/B72:B76</f>
        <v>0.67466266866566715</v>
      </c>
    </row>
    <row r="73" spans="1:5">
      <c r="A73" s="9" t="s">
        <v>23</v>
      </c>
      <c r="B73" s="7">
        <v>457</v>
      </c>
      <c r="C73" s="7">
        <v>358</v>
      </c>
      <c r="D73" t="str">
        <f t="shared" si="26"/>
        <v>DevOps Engineer</v>
      </c>
      <c r="E73" s="10">
        <f t="shared" si="27"/>
        <v>0.78336980306345738</v>
      </c>
    </row>
    <row r="74" spans="1:5">
      <c r="A74" s="9" t="s">
        <v>21</v>
      </c>
      <c r="B74" s="7">
        <v>368</v>
      </c>
      <c r="C74" s="7">
        <v>293</v>
      </c>
      <c r="D74" t="str">
        <f t="shared" si="26"/>
        <v>Frontend Developer</v>
      </c>
      <c r="E74" s="10">
        <f t="shared" si="27"/>
        <v>0.79619565217391308</v>
      </c>
    </row>
    <row r="75" spans="1:5">
      <c r="A75" s="9" t="s">
        <v>26</v>
      </c>
      <c r="B75" s="7">
        <v>833</v>
      </c>
      <c r="C75" s="7">
        <v>632</v>
      </c>
      <c r="D75" t="str">
        <f t="shared" si="26"/>
        <v>Software Engineer</v>
      </c>
      <c r="E75" s="10">
        <f t="shared" si="27"/>
        <v>0.75870348139255706</v>
      </c>
    </row>
    <row r="77" spans="1:5">
      <c r="A77" s="8" t="s">
        <v>30</v>
      </c>
      <c r="B77" t="s">
        <v>33</v>
      </c>
      <c r="C77" t="s">
        <v>37</v>
      </c>
      <c r="D77" t="s">
        <v>2</v>
      </c>
      <c r="E77" t="s">
        <v>49</v>
      </c>
    </row>
    <row r="78" spans="1:5">
      <c r="A78" s="9" t="s">
        <v>17</v>
      </c>
      <c r="B78" s="7">
        <v>341</v>
      </c>
      <c r="C78" s="7">
        <v>254</v>
      </c>
      <c r="D78" t="str">
        <f>A78:A82</f>
        <v>Backend Developer</v>
      </c>
      <c r="E78" s="10">
        <f>C78:C82/B78:B82</f>
        <v>0.74486803519061584</v>
      </c>
    </row>
    <row r="79" spans="1:5">
      <c r="A79" s="9" t="s">
        <v>14</v>
      </c>
      <c r="B79" s="7">
        <v>450</v>
      </c>
      <c r="C79" s="7">
        <v>402</v>
      </c>
      <c r="D79" t="str">
        <f t="shared" ref="D79:D82" si="28">A79:A83</f>
        <v>Data Analyst</v>
      </c>
      <c r="E79" s="10">
        <f t="shared" ref="E79:E82" si="29">C79:C83/B79:B83</f>
        <v>0.89333333333333331</v>
      </c>
    </row>
    <row r="80" spans="1:5">
      <c r="A80" s="9" t="s">
        <v>23</v>
      </c>
      <c r="B80" s="7">
        <v>358</v>
      </c>
      <c r="C80" s="7">
        <v>253</v>
      </c>
      <c r="D80" t="str">
        <f t="shared" si="28"/>
        <v>DevOps Engineer</v>
      </c>
      <c r="E80" s="10">
        <f t="shared" si="29"/>
        <v>0.70670391061452509</v>
      </c>
    </row>
    <row r="81" spans="1:5">
      <c r="A81" s="9" t="s">
        <v>21</v>
      </c>
      <c r="B81" s="7">
        <v>293</v>
      </c>
      <c r="C81" s="7">
        <v>214</v>
      </c>
      <c r="D81" t="str">
        <f t="shared" si="28"/>
        <v>Frontend Developer</v>
      </c>
      <c r="E81" s="10">
        <f t="shared" si="29"/>
        <v>0.7303754266211604</v>
      </c>
    </row>
    <row r="82" spans="1:5">
      <c r="A82" s="9" t="s">
        <v>26</v>
      </c>
      <c r="B82" s="7">
        <v>632</v>
      </c>
      <c r="C82" s="7">
        <v>497</v>
      </c>
      <c r="D82" t="str">
        <f t="shared" si="28"/>
        <v>Software Engineer</v>
      </c>
      <c r="E82" s="10">
        <f t="shared" si="29"/>
        <v>0.78639240506329111</v>
      </c>
    </row>
    <row r="84" spans="1:5">
      <c r="A84" s="8" t="s">
        <v>30</v>
      </c>
      <c r="B84" t="s">
        <v>37</v>
      </c>
      <c r="C84" t="s">
        <v>39</v>
      </c>
      <c r="D84" t="s">
        <v>2</v>
      </c>
      <c r="E84" t="s">
        <v>45</v>
      </c>
    </row>
    <row r="85" spans="1:5">
      <c r="A85" s="9" t="s">
        <v>17</v>
      </c>
      <c r="B85" s="7">
        <v>254</v>
      </c>
      <c r="C85" s="7">
        <v>99</v>
      </c>
      <c r="D85" t="str">
        <f>A85:A89</f>
        <v>Backend Developer</v>
      </c>
      <c r="E85" s="10">
        <f>C85:C89/B85:B89</f>
        <v>0.38976377952755903</v>
      </c>
    </row>
    <row r="86" spans="1:5">
      <c r="A86" s="9" t="s">
        <v>14</v>
      </c>
      <c r="B86" s="7">
        <v>402</v>
      </c>
      <c r="C86" s="7">
        <v>158</v>
      </c>
      <c r="D86" t="str">
        <f t="shared" ref="D86:D89" si="30">A86:A90</f>
        <v>Data Analyst</v>
      </c>
      <c r="E86" s="10">
        <f t="shared" ref="E86:E89" si="31">C86:C90/B86:B90</f>
        <v>0.39303482587064675</v>
      </c>
    </row>
    <row r="87" spans="1:5">
      <c r="A87" s="9" t="s">
        <v>23</v>
      </c>
      <c r="B87" s="7">
        <v>253</v>
      </c>
      <c r="C87" s="7">
        <v>107</v>
      </c>
      <c r="D87" t="str">
        <f t="shared" si="30"/>
        <v>DevOps Engineer</v>
      </c>
      <c r="E87" s="10">
        <f t="shared" si="31"/>
        <v>0.42292490118577075</v>
      </c>
    </row>
    <row r="88" spans="1:5">
      <c r="A88" s="9" t="s">
        <v>21</v>
      </c>
      <c r="B88" s="7">
        <v>214</v>
      </c>
      <c r="C88" s="7">
        <v>85</v>
      </c>
      <c r="D88" t="str">
        <f t="shared" si="30"/>
        <v>Frontend Developer</v>
      </c>
      <c r="E88" s="10">
        <f t="shared" si="31"/>
        <v>0.39719626168224298</v>
      </c>
    </row>
    <row r="89" spans="1:5">
      <c r="A89" s="9" t="s">
        <v>26</v>
      </c>
      <c r="B89" s="7">
        <v>497</v>
      </c>
      <c r="C89" s="7">
        <v>196</v>
      </c>
      <c r="D89" t="str">
        <f t="shared" si="30"/>
        <v>Software Engineer</v>
      </c>
      <c r="E89" s="10">
        <f t="shared" si="31"/>
        <v>0.39436619718309857</v>
      </c>
    </row>
    <row r="91" spans="1:5">
      <c r="A91" s="8" t="s">
        <v>30</v>
      </c>
      <c r="B91" t="s">
        <v>37</v>
      </c>
      <c r="C91" t="s">
        <v>38</v>
      </c>
      <c r="D91" t="s">
        <v>2</v>
      </c>
      <c r="E91" t="s">
        <v>44</v>
      </c>
    </row>
    <row r="92" spans="1:5">
      <c r="A92" s="9" t="s">
        <v>17</v>
      </c>
      <c r="B92" s="7">
        <v>254</v>
      </c>
      <c r="C92" s="7">
        <v>182</v>
      </c>
      <c r="D92" t="str">
        <f>A92:A96</f>
        <v>Backend Developer</v>
      </c>
      <c r="E92" s="10">
        <f>C92:C96/B92:B96</f>
        <v>0.71653543307086609</v>
      </c>
    </row>
    <row r="93" spans="1:5">
      <c r="A93" s="9" t="s">
        <v>14</v>
      </c>
      <c r="B93" s="7">
        <v>402</v>
      </c>
      <c r="C93" s="7">
        <v>254</v>
      </c>
      <c r="D93" t="str">
        <f t="shared" ref="D93:D96" si="32">A93:A97</f>
        <v>Data Analyst</v>
      </c>
      <c r="E93" s="10">
        <f t="shared" ref="E93:E96" si="33">C93:C97/B93:B97</f>
        <v>0.63184079601990051</v>
      </c>
    </row>
    <row r="94" spans="1:5">
      <c r="A94" s="9" t="s">
        <v>23</v>
      </c>
      <c r="B94" s="7">
        <v>253</v>
      </c>
      <c r="C94" s="7">
        <v>176</v>
      </c>
      <c r="D94" t="str">
        <f t="shared" si="32"/>
        <v>DevOps Engineer</v>
      </c>
      <c r="E94" s="10">
        <f t="shared" si="33"/>
        <v>0.69565217391304346</v>
      </c>
    </row>
    <row r="95" spans="1:5">
      <c r="A95" s="9" t="s">
        <v>21</v>
      </c>
      <c r="B95" s="7">
        <v>214</v>
      </c>
      <c r="C95" s="7">
        <v>148</v>
      </c>
      <c r="D95" t="str">
        <f t="shared" si="32"/>
        <v>Frontend Developer</v>
      </c>
      <c r="E95" s="10">
        <f t="shared" si="33"/>
        <v>0.69158878504672894</v>
      </c>
    </row>
    <row r="96" spans="1:5">
      <c r="A96" s="9" t="s">
        <v>26</v>
      </c>
      <c r="B96" s="7">
        <v>497</v>
      </c>
      <c r="C96" s="7">
        <v>319</v>
      </c>
      <c r="D96" t="str">
        <f t="shared" si="32"/>
        <v>Software Engineer</v>
      </c>
      <c r="E96" s="10">
        <f t="shared" si="33"/>
        <v>0.64185110663983902</v>
      </c>
    </row>
    <row r="99" spans="1:8">
      <c r="A99" s="8" t="s">
        <v>30</v>
      </c>
      <c r="B99" t="s">
        <v>28</v>
      </c>
      <c r="C99" t="s">
        <v>29</v>
      </c>
      <c r="D99" t="s">
        <v>33</v>
      </c>
      <c r="E99" t="s">
        <v>37</v>
      </c>
      <c r="F99" t="s">
        <v>38</v>
      </c>
      <c r="G99" t="s">
        <v>39</v>
      </c>
      <c r="H99" t="s">
        <v>40</v>
      </c>
    </row>
    <row r="100" spans="1:8">
      <c r="A100" s="9" t="s">
        <v>17</v>
      </c>
      <c r="B100" s="7">
        <v>620</v>
      </c>
      <c r="C100" s="7">
        <v>448</v>
      </c>
      <c r="D100" s="7">
        <v>341</v>
      </c>
      <c r="E100" s="7">
        <v>254</v>
      </c>
      <c r="F100" s="7">
        <v>182</v>
      </c>
      <c r="G100" s="7">
        <v>99</v>
      </c>
      <c r="H100" s="7">
        <v>27</v>
      </c>
    </row>
    <row r="101" spans="1:8">
      <c r="A101" s="9" t="s">
        <v>14</v>
      </c>
      <c r="B101" s="7">
        <v>819</v>
      </c>
      <c r="C101" s="7">
        <v>667</v>
      </c>
      <c r="D101" s="7">
        <v>450</v>
      </c>
      <c r="E101" s="7">
        <v>402</v>
      </c>
      <c r="F101" s="7">
        <v>254</v>
      </c>
      <c r="G101" s="7">
        <v>158</v>
      </c>
      <c r="H101" s="7">
        <v>36</v>
      </c>
    </row>
    <row r="102" spans="1:8">
      <c r="A102" s="9" t="s">
        <v>23</v>
      </c>
      <c r="B102" s="7">
        <v>615</v>
      </c>
      <c r="C102" s="7">
        <v>457</v>
      </c>
      <c r="D102" s="7">
        <v>358</v>
      </c>
      <c r="E102" s="7">
        <v>253</v>
      </c>
      <c r="F102" s="7">
        <v>176</v>
      </c>
      <c r="G102" s="7">
        <v>107</v>
      </c>
      <c r="H102" s="7">
        <v>26</v>
      </c>
    </row>
    <row r="103" spans="1:8">
      <c r="A103" s="9" t="s">
        <v>21</v>
      </c>
      <c r="B103" s="7">
        <v>480</v>
      </c>
      <c r="C103" s="7">
        <v>368</v>
      </c>
      <c r="D103" s="7">
        <v>293</v>
      </c>
      <c r="E103" s="7">
        <v>214</v>
      </c>
      <c r="F103" s="7">
        <v>148</v>
      </c>
      <c r="G103" s="7">
        <v>85</v>
      </c>
      <c r="H103" s="7">
        <v>24</v>
      </c>
    </row>
    <row r="104" spans="1:8">
      <c r="A104" s="9" t="s">
        <v>26</v>
      </c>
      <c r="B104" s="7">
        <v>1171</v>
      </c>
      <c r="C104" s="7">
        <v>833</v>
      </c>
      <c r="D104" s="7">
        <v>632</v>
      </c>
      <c r="E104" s="7">
        <v>497</v>
      </c>
      <c r="F104" s="7">
        <v>319</v>
      </c>
      <c r="G104" s="7">
        <v>196</v>
      </c>
      <c r="H104" s="7">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0" zoomScaleNormal="70" workbookViewId="0">
      <selection activeCell="H4" sqref="H4"/>
    </sheetView>
  </sheetViews>
  <sheetFormatPr defaultRowHeight="14.25"/>
  <cols>
    <col min="1" max="16384" width="9"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0" zoomScaleNormal="80" workbookViewId="0">
      <selection activeCell="AA40" sqref="AA40"/>
    </sheetView>
  </sheetViews>
  <sheetFormatPr defaultRowHeight="14.25"/>
  <cols>
    <col min="1" max="16384" width="9"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1"/>
  <sheetViews>
    <sheetView topLeftCell="K2" workbookViewId="0">
      <selection activeCell="T2" sqref="T2"/>
    </sheetView>
  </sheetViews>
  <sheetFormatPr defaultColWidth="12.75" defaultRowHeight="14.25"/>
  <cols>
    <col min="1" max="1" width="17.625" style="6" customWidth="1"/>
    <col min="2" max="2" width="17.625" style="3" customWidth="1"/>
    <col min="3" max="3" width="20" style="3" customWidth="1"/>
    <col min="4" max="4" width="21.375" style="3" customWidth="1"/>
    <col min="5" max="11" width="12.75" style="3"/>
    <col min="12" max="13" width="15.125" style="3" customWidth="1"/>
    <col min="14" max="14" width="35.75" style="3" customWidth="1"/>
    <col min="15" max="16384" width="12.75" style="3"/>
  </cols>
  <sheetData>
    <row r="1" spans="1:20" ht="59.45" customHeight="1">
      <c r="A1" s="1" t="s">
        <v>0</v>
      </c>
      <c r="B1" s="2" t="s">
        <v>1</v>
      </c>
      <c r="C1" s="2" t="s">
        <v>2</v>
      </c>
      <c r="D1" s="2" t="s">
        <v>3</v>
      </c>
      <c r="E1" s="2" t="s">
        <v>4</v>
      </c>
      <c r="F1" s="2" t="s">
        <v>5</v>
      </c>
      <c r="G1" s="2" t="s">
        <v>6</v>
      </c>
      <c r="H1" s="2" t="s">
        <v>7</v>
      </c>
      <c r="I1" s="2" t="s">
        <v>8</v>
      </c>
      <c r="J1" s="2" t="s">
        <v>9</v>
      </c>
      <c r="K1" s="2" t="s">
        <v>10</v>
      </c>
      <c r="L1" s="2" t="s">
        <v>11</v>
      </c>
      <c r="M1" s="2" t="s">
        <v>12</v>
      </c>
      <c r="N1" s="2" t="s">
        <v>41</v>
      </c>
      <c r="O1" s="12" t="s">
        <v>42</v>
      </c>
      <c r="P1" s="12" t="s">
        <v>43</v>
      </c>
      <c r="Q1" s="12" t="s">
        <v>44</v>
      </c>
      <c r="R1" s="12" t="s">
        <v>45</v>
      </c>
      <c r="S1" s="12" t="s">
        <v>46</v>
      </c>
      <c r="T1" s="12" t="s">
        <v>60</v>
      </c>
    </row>
    <row r="2" spans="1:20">
      <c r="A2" s="4">
        <v>45819</v>
      </c>
      <c r="B2" s="5" t="s">
        <v>13</v>
      </c>
      <c r="C2" s="5" t="s">
        <v>14</v>
      </c>
      <c r="D2" s="5" t="s">
        <v>15</v>
      </c>
      <c r="E2" s="3">
        <v>149</v>
      </c>
      <c r="F2" s="3">
        <v>96</v>
      </c>
      <c r="G2" s="3">
        <v>63</v>
      </c>
      <c r="H2" s="3">
        <v>63</v>
      </c>
      <c r="I2" s="3">
        <v>40</v>
      </c>
      <c r="J2" s="3">
        <v>24</v>
      </c>
      <c r="K2" s="3">
        <v>4</v>
      </c>
      <c r="L2" s="6">
        <v>45859</v>
      </c>
      <c r="M2" s="3">
        <f>IFERROR(MAX(Table1[[#This Row],[Final Joining Date]]-Table1[[#This Row],[Job Opening Date]], 0), 0)</f>
        <v>40</v>
      </c>
      <c r="N2" s="13">
        <f>Table1[[#This Row],[Total Shortlisted]]/Table1[[#This Row],[Total Applications]]</f>
        <v>0.64429530201342278</v>
      </c>
      <c r="O2" s="13">
        <f>Table1[[#This Row],[Total Contacted]]/Table1[[#This Row],[Total Shortlisted]]</f>
        <v>0.65625</v>
      </c>
      <c r="P2" s="13">
        <f>Table1[[#This Row],[Total Interviewed]]/Table1[[#This Row],[Total Contacted]]</f>
        <v>1</v>
      </c>
      <c r="Q2" s="13">
        <f>Table1[[#This Row],[Total Rejected]]/Table1[[#This Row],[Total Interviewed]]</f>
        <v>0.63492063492063489</v>
      </c>
      <c r="R2" s="13">
        <f>Table1[[#This Row],[Total Selected]]/Table1[[#This Row],[Total Interviewed]]</f>
        <v>0.38095238095238093</v>
      </c>
      <c r="S2" s="13">
        <f>Table1[[#This Row],[Total Hired]]/Table1[[#This Row],[Total Selected]]</f>
        <v>0.16666666666666666</v>
      </c>
      <c r="T2" s="13" t="str">
        <f t="shared" ref="T2:T31" si="0">TEXT(A2, "mmm")</f>
        <v>Jun</v>
      </c>
    </row>
    <row r="3" spans="1:20">
      <c r="A3" s="4">
        <v>45793</v>
      </c>
      <c r="B3" s="5" t="s">
        <v>16</v>
      </c>
      <c r="C3" s="5" t="s">
        <v>17</v>
      </c>
      <c r="D3" s="5" t="s">
        <v>18</v>
      </c>
      <c r="E3" s="3">
        <v>116</v>
      </c>
      <c r="F3" s="3">
        <v>88</v>
      </c>
      <c r="G3" s="3">
        <v>63</v>
      </c>
      <c r="H3" s="3">
        <v>61</v>
      </c>
      <c r="I3" s="3">
        <v>33</v>
      </c>
      <c r="J3" s="3">
        <v>23</v>
      </c>
      <c r="K3" s="3">
        <v>10</v>
      </c>
      <c r="L3" s="6">
        <v>45826</v>
      </c>
      <c r="M3" s="3">
        <f>IFERROR(MAX(Table1[[#This Row],[Final Joining Date]]-Table1[[#This Row],[Job Opening Date]], 0), 0)</f>
        <v>33</v>
      </c>
      <c r="N3" s="13">
        <f>Table1[[#This Row],[Total Shortlisted]]/Table1[[#This Row],[Total Applications]]</f>
        <v>0.75862068965517238</v>
      </c>
      <c r="O3" s="13">
        <f>Table1[[#This Row],[Total Contacted]]/Table1[[#This Row],[Total Shortlisted]]</f>
        <v>0.71590909090909094</v>
      </c>
      <c r="P3" s="13">
        <f>Table1[[#This Row],[Total Interviewed]]/Table1[[#This Row],[Total Contacted]]</f>
        <v>0.96825396825396826</v>
      </c>
      <c r="Q3" s="13">
        <f>Table1[[#This Row],[Total Rejected]]/Table1[[#This Row],[Total Interviewed]]</f>
        <v>0.54098360655737709</v>
      </c>
      <c r="R3" s="13">
        <f>Table1[[#This Row],[Total Selected]]/Table1[[#This Row],[Total Interviewed]]</f>
        <v>0.37704918032786883</v>
      </c>
      <c r="S3" s="13">
        <f>Table1[[#This Row],[Total Hired]]/Table1[[#This Row],[Total Selected]]</f>
        <v>0.43478260869565216</v>
      </c>
      <c r="T3" s="13" t="str">
        <f t="shared" si="0"/>
        <v>May</v>
      </c>
    </row>
    <row r="4" spans="1:20">
      <c r="A4" s="4">
        <v>45799</v>
      </c>
      <c r="B4" s="5" t="s">
        <v>16</v>
      </c>
      <c r="C4" s="5" t="s">
        <v>14</v>
      </c>
      <c r="D4" s="5" t="s">
        <v>19</v>
      </c>
      <c r="E4" s="3">
        <v>112</v>
      </c>
      <c r="F4" s="3">
        <v>100</v>
      </c>
      <c r="G4" s="3">
        <v>75</v>
      </c>
      <c r="H4" s="3">
        <v>48</v>
      </c>
      <c r="I4" s="3">
        <v>33</v>
      </c>
      <c r="J4" s="3">
        <v>10</v>
      </c>
      <c r="K4" s="3">
        <v>3</v>
      </c>
      <c r="L4" s="6">
        <v>45832</v>
      </c>
      <c r="M4" s="3">
        <f>IFERROR(MAX(Table1[[#This Row],[Final Joining Date]]-Table1[[#This Row],[Job Opening Date]], 0), 0)</f>
        <v>33</v>
      </c>
      <c r="N4" s="13">
        <f>Table1[[#This Row],[Total Shortlisted]]/Table1[[#This Row],[Total Applications]]</f>
        <v>0.8928571428571429</v>
      </c>
      <c r="O4" s="13">
        <f>Table1[[#This Row],[Total Contacted]]/Table1[[#This Row],[Total Shortlisted]]</f>
        <v>0.75</v>
      </c>
      <c r="P4" s="13">
        <f>Table1[[#This Row],[Total Interviewed]]/Table1[[#This Row],[Total Contacted]]</f>
        <v>0.64</v>
      </c>
      <c r="Q4" s="13">
        <f>Table1[[#This Row],[Total Rejected]]/Table1[[#This Row],[Total Interviewed]]</f>
        <v>0.6875</v>
      </c>
      <c r="R4" s="13">
        <f>Table1[[#This Row],[Total Selected]]/Table1[[#This Row],[Total Interviewed]]</f>
        <v>0.20833333333333334</v>
      </c>
      <c r="S4" s="13">
        <f>Table1[[#This Row],[Total Hired]]/Table1[[#This Row],[Total Selected]]</f>
        <v>0.3</v>
      </c>
      <c r="T4" s="13" t="str">
        <f t="shared" si="0"/>
        <v>May</v>
      </c>
    </row>
    <row r="5" spans="1:20">
      <c r="A5" s="4">
        <v>45802</v>
      </c>
      <c r="B5" s="5" t="s">
        <v>20</v>
      </c>
      <c r="C5" s="5" t="s">
        <v>17</v>
      </c>
      <c r="D5" s="5" t="s">
        <v>18</v>
      </c>
      <c r="E5" s="3">
        <v>118</v>
      </c>
      <c r="F5" s="3">
        <v>83</v>
      </c>
      <c r="G5" s="3">
        <v>75</v>
      </c>
      <c r="H5" s="3">
        <v>46</v>
      </c>
      <c r="I5" s="3">
        <v>34</v>
      </c>
      <c r="J5" s="3">
        <v>26</v>
      </c>
      <c r="K5" s="3">
        <v>7</v>
      </c>
      <c r="L5" s="6">
        <v>45836</v>
      </c>
      <c r="M5" s="3">
        <f>IFERROR(MAX(Table1[[#This Row],[Final Joining Date]]-Table1[[#This Row],[Job Opening Date]], 0), 0)</f>
        <v>34</v>
      </c>
      <c r="N5" s="13">
        <f>Table1[[#This Row],[Total Shortlisted]]/Table1[[#This Row],[Total Applications]]</f>
        <v>0.70338983050847459</v>
      </c>
      <c r="O5" s="13">
        <f>Table1[[#This Row],[Total Contacted]]/Table1[[#This Row],[Total Shortlisted]]</f>
        <v>0.90361445783132532</v>
      </c>
      <c r="P5" s="13">
        <f>Table1[[#This Row],[Total Interviewed]]/Table1[[#This Row],[Total Contacted]]</f>
        <v>0.61333333333333329</v>
      </c>
      <c r="Q5" s="13">
        <f>Table1[[#This Row],[Total Rejected]]/Table1[[#This Row],[Total Interviewed]]</f>
        <v>0.73913043478260865</v>
      </c>
      <c r="R5" s="13">
        <f>Table1[[#This Row],[Total Selected]]/Table1[[#This Row],[Total Interviewed]]</f>
        <v>0.56521739130434778</v>
      </c>
      <c r="S5" s="13">
        <f>Table1[[#This Row],[Total Hired]]/Table1[[#This Row],[Total Selected]]</f>
        <v>0.26923076923076922</v>
      </c>
      <c r="T5" s="13" t="str">
        <f t="shared" si="0"/>
        <v>May</v>
      </c>
    </row>
    <row r="6" spans="1:20">
      <c r="A6" s="4">
        <v>45826</v>
      </c>
      <c r="B6" s="5" t="s">
        <v>20</v>
      </c>
      <c r="C6" s="5" t="s">
        <v>21</v>
      </c>
      <c r="D6" s="5" t="s">
        <v>18</v>
      </c>
      <c r="E6" s="3">
        <v>107</v>
      </c>
      <c r="F6" s="3">
        <v>84</v>
      </c>
      <c r="G6" s="3">
        <v>73</v>
      </c>
      <c r="H6" s="3">
        <v>52</v>
      </c>
      <c r="I6" s="3">
        <v>32</v>
      </c>
      <c r="J6" s="3">
        <v>29</v>
      </c>
      <c r="K6" s="3">
        <v>4</v>
      </c>
      <c r="L6" s="6">
        <v>45858</v>
      </c>
      <c r="M6" s="3">
        <f>IFERROR(MAX(Table1[[#This Row],[Final Joining Date]]-Table1[[#This Row],[Job Opening Date]], 0), 0)</f>
        <v>32</v>
      </c>
      <c r="N6" s="13">
        <f>Table1[[#This Row],[Total Shortlisted]]/Table1[[#This Row],[Total Applications]]</f>
        <v>0.78504672897196259</v>
      </c>
      <c r="O6" s="13">
        <f>Table1[[#This Row],[Total Contacted]]/Table1[[#This Row],[Total Shortlisted]]</f>
        <v>0.86904761904761907</v>
      </c>
      <c r="P6" s="13">
        <f>Table1[[#This Row],[Total Interviewed]]/Table1[[#This Row],[Total Contacted]]</f>
        <v>0.71232876712328763</v>
      </c>
      <c r="Q6" s="13">
        <f>Table1[[#This Row],[Total Rejected]]/Table1[[#This Row],[Total Interviewed]]</f>
        <v>0.61538461538461542</v>
      </c>
      <c r="R6" s="13">
        <f>Table1[[#This Row],[Total Selected]]/Table1[[#This Row],[Total Interviewed]]</f>
        <v>0.55769230769230771</v>
      </c>
      <c r="S6" s="13">
        <f>Table1[[#This Row],[Total Hired]]/Table1[[#This Row],[Total Selected]]</f>
        <v>0.13793103448275862</v>
      </c>
      <c r="T6" s="13" t="str">
        <f t="shared" si="0"/>
        <v>Jun</v>
      </c>
    </row>
    <row r="7" spans="1:20">
      <c r="A7" s="4">
        <v>45818</v>
      </c>
      <c r="B7" s="5" t="s">
        <v>22</v>
      </c>
      <c r="C7" s="5" t="s">
        <v>23</v>
      </c>
      <c r="D7" s="5" t="s">
        <v>24</v>
      </c>
      <c r="E7" s="3">
        <v>138</v>
      </c>
      <c r="F7" s="3">
        <v>88</v>
      </c>
      <c r="G7" s="3">
        <v>65</v>
      </c>
      <c r="H7" s="3">
        <v>52</v>
      </c>
      <c r="I7" s="3">
        <v>40</v>
      </c>
      <c r="J7" s="3">
        <v>10</v>
      </c>
      <c r="K7" s="3">
        <v>5</v>
      </c>
      <c r="L7" s="6">
        <v>45858</v>
      </c>
      <c r="M7" s="3">
        <f>IFERROR(MAX(Table1[[#This Row],[Final Joining Date]]-Table1[[#This Row],[Job Opening Date]], 0), 0)</f>
        <v>40</v>
      </c>
      <c r="N7" s="13">
        <f>Table1[[#This Row],[Total Shortlisted]]/Table1[[#This Row],[Total Applications]]</f>
        <v>0.6376811594202898</v>
      </c>
      <c r="O7" s="13">
        <f>Table1[[#This Row],[Total Contacted]]/Table1[[#This Row],[Total Shortlisted]]</f>
        <v>0.73863636363636365</v>
      </c>
      <c r="P7" s="13">
        <f>Table1[[#This Row],[Total Interviewed]]/Table1[[#This Row],[Total Contacted]]</f>
        <v>0.8</v>
      </c>
      <c r="Q7" s="13">
        <f>Table1[[#This Row],[Total Rejected]]/Table1[[#This Row],[Total Interviewed]]</f>
        <v>0.76923076923076927</v>
      </c>
      <c r="R7" s="13">
        <f>Table1[[#This Row],[Total Selected]]/Table1[[#This Row],[Total Interviewed]]</f>
        <v>0.19230769230769232</v>
      </c>
      <c r="S7" s="13">
        <f>Table1[[#This Row],[Total Hired]]/Table1[[#This Row],[Total Selected]]</f>
        <v>0.5</v>
      </c>
      <c r="T7" s="13" t="str">
        <f t="shared" si="0"/>
        <v>Jun</v>
      </c>
    </row>
    <row r="8" spans="1:20">
      <c r="A8" s="4">
        <v>45814</v>
      </c>
      <c r="B8" s="5" t="s">
        <v>20</v>
      </c>
      <c r="C8" s="5" t="s">
        <v>17</v>
      </c>
      <c r="D8" s="5" t="s">
        <v>15</v>
      </c>
      <c r="E8" s="3">
        <v>145</v>
      </c>
      <c r="F8" s="3">
        <v>96</v>
      </c>
      <c r="G8" s="3">
        <v>63</v>
      </c>
      <c r="H8" s="3">
        <v>44</v>
      </c>
      <c r="I8" s="3">
        <v>38</v>
      </c>
      <c r="J8" s="3">
        <v>22</v>
      </c>
      <c r="K8" s="3">
        <v>3</v>
      </c>
      <c r="L8" s="6">
        <v>45852</v>
      </c>
      <c r="M8" s="3">
        <f>IFERROR(MAX(Table1[[#This Row],[Final Joining Date]]-Table1[[#This Row],[Job Opening Date]], 0), 0)</f>
        <v>38</v>
      </c>
      <c r="N8" s="13">
        <f>Table1[[#This Row],[Total Shortlisted]]/Table1[[#This Row],[Total Applications]]</f>
        <v>0.66206896551724137</v>
      </c>
      <c r="O8" s="13">
        <f>Table1[[#This Row],[Total Contacted]]/Table1[[#This Row],[Total Shortlisted]]</f>
        <v>0.65625</v>
      </c>
      <c r="P8" s="13">
        <f>Table1[[#This Row],[Total Interviewed]]/Table1[[#This Row],[Total Contacted]]</f>
        <v>0.69841269841269837</v>
      </c>
      <c r="Q8" s="13">
        <f>Table1[[#This Row],[Total Rejected]]/Table1[[#This Row],[Total Interviewed]]</f>
        <v>0.86363636363636365</v>
      </c>
      <c r="R8" s="13">
        <f>Table1[[#This Row],[Total Selected]]/Table1[[#This Row],[Total Interviewed]]</f>
        <v>0.5</v>
      </c>
      <c r="S8" s="13">
        <f>Table1[[#This Row],[Total Hired]]/Table1[[#This Row],[Total Selected]]</f>
        <v>0.13636363636363635</v>
      </c>
      <c r="T8" s="13" t="str">
        <f t="shared" si="0"/>
        <v>Jun</v>
      </c>
    </row>
    <row r="9" spans="1:20">
      <c r="A9" s="4">
        <v>45828</v>
      </c>
      <c r="B9" s="5" t="s">
        <v>25</v>
      </c>
      <c r="C9" s="5" t="s">
        <v>26</v>
      </c>
      <c r="D9" s="5" t="s">
        <v>15</v>
      </c>
      <c r="E9" s="3">
        <v>140</v>
      </c>
      <c r="F9" s="3">
        <v>83</v>
      </c>
      <c r="G9" s="3">
        <v>65</v>
      </c>
      <c r="H9" s="3">
        <v>63</v>
      </c>
      <c r="I9" s="3">
        <v>31</v>
      </c>
      <c r="J9" s="3">
        <v>30</v>
      </c>
      <c r="K9" s="3">
        <v>1</v>
      </c>
      <c r="L9" s="6">
        <v>45859</v>
      </c>
      <c r="M9" s="3">
        <f>IFERROR(MAX(Table1[[#This Row],[Final Joining Date]]-Table1[[#This Row],[Job Opening Date]], 0), 0)</f>
        <v>31</v>
      </c>
      <c r="N9" s="13">
        <f>Table1[[#This Row],[Total Shortlisted]]/Table1[[#This Row],[Total Applications]]</f>
        <v>0.59285714285714286</v>
      </c>
      <c r="O9" s="13">
        <f>Table1[[#This Row],[Total Contacted]]/Table1[[#This Row],[Total Shortlisted]]</f>
        <v>0.7831325301204819</v>
      </c>
      <c r="P9" s="13">
        <f>Table1[[#This Row],[Total Interviewed]]/Table1[[#This Row],[Total Contacted]]</f>
        <v>0.96923076923076923</v>
      </c>
      <c r="Q9" s="13">
        <f>Table1[[#This Row],[Total Rejected]]/Table1[[#This Row],[Total Interviewed]]</f>
        <v>0.49206349206349204</v>
      </c>
      <c r="R9" s="13">
        <f>Table1[[#This Row],[Total Selected]]/Table1[[#This Row],[Total Interviewed]]</f>
        <v>0.47619047619047616</v>
      </c>
      <c r="S9" s="13">
        <f>Table1[[#This Row],[Total Hired]]/Table1[[#This Row],[Total Selected]]</f>
        <v>3.3333333333333333E-2</v>
      </c>
      <c r="T9" s="13" t="str">
        <f t="shared" si="0"/>
        <v>Jun</v>
      </c>
    </row>
    <row r="10" spans="1:20">
      <c r="A10" s="4">
        <v>45831</v>
      </c>
      <c r="B10" s="5" t="s">
        <v>16</v>
      </c>
      <c r="C10" s="5" t="s">
        <v>26</v>
      </c>
      <c r="D10" s="5" t="s">
        <v>18</v>
      </c>
      <c r="E10" s="3">
        <v>148</v>
      </c>
      <c r="F10" s="3">
        <v>87</v>
      </c>
      <c r="G10" s="3">
        <v>67</v>
      </c>
      <c r="H10" s="3">
        <v>64</v>
      </c>
      <c r="I10" s="3">
        <v>38</v>
      </c>
      <c r="J10" s="3">
        <v>24</v>
      </c>
      <c r="K10" s="3">
        <v>1</v>
      </c>
      <c r="L10" s="6">
        <v>45869</v>
      </c>
      <c r="M10" s="3">
        <f>IFERROR(MAX(Table1[[#This Row],[Final Joining Date]]-Table1[[#This Row],[Job Opening Date]], 0), 0)</f>
        <v>38</v>
      </c>
      <c r="N10" s="13">
        <f>Table1[[#This Row],[Total Shortlisted]]/Table1[[#This Row],[Total Applications]]</f>
        <v>0.58783783783783783</v>
      </c>
      <c r="O10" s="13">
        <f>Table1[[#This Row],[Total Contacted]]/Table1[[#This Row],[Total Shortlisted]]</f>
        <v>0.77011494252873558</v>
      </c>
      <c r="P10" s="13">
        <f>Table1[[#This Row],[Total Interviewed]]/Table1[[#This Row],[Total Contacted]]</f>
        <v>0.95522388059701491</v>
      </c>
      <c r="Q10" s="13">
        <f>Table1[[#This Row],[Total Rejected]]/Table1[[#This Row],[Total Interviewed]]</f>
        <v>0.59375</v>
      </c>
      <c r="R10" s="13">
        <f>Table1[[#This Row],[Total Selected]]/Table1[[#This Row],[Total Interviewed]]</f>
        <v>0.375</v>
      </c>
      <c r="S10" s="13">
        <f>Table1[[#This Row],[Total Hired]]/Table1[[#This Row],[Total Selected]]</f>
        <v>4.1666666666666664E-2</v>
      </c>
      <c r="T10" s="13" t="str">
        <f t="shared" si="0"/>
        <v>Jun</v>
      </c>
    </row>
    <row r="11" spans="1:20">
      <c r="A11" s="4">
        <v>45840</v>
      </c>
      <c r="B11" s="5" t="s">
        <v>20</v>
      </c>
      <c r="C11" s="5" t="s">
        <v>26</v>
      </c>
      <c r="D11" s="5" t="s">
        <v>18</v>
      </c>
      <c r="E11" s="3">
        <v>118</v>
      </c>
      <c r="F11" s="3">
        <v>91</v>
      </c>
      <c r="G11" s="3">
        <v>61</v>
      </c>
      <c r="H11" s="3">
        <v>56</v>
      </c>
      <c r="I11" s="3">
        <v>39</v>
      </c>
      <c r="J11" s="3">
        <v>26</v>
      </c>
      <c r="K11" s="3">
        <v>8</v>
      </c>
      <c r="L11" s="6">
        <v>45879</v>
      </c>
      <c r="M11" s="3">
        <f>IFERROR(MAX(Table1[[#This Row],[Final Joining Date]]-Table1[[#This Row],[Job Opening Date]], 0), 0)</f>
        <v>39</v>
      </c>
      <c r="N11" s="13">
        <f>Table1[[#This Row],[Total Shortlisted]]/Table1[[#This Row],[Total Applications]]</f>
        <v>0.77118644067796616</v>
      </c>
      <c r="O11" s="13">
        <f>Table1[[#This Row],[Total Contacted]]/Table1[[#This Row],[Total Shortlisted]]</f>
        <v>0.67032967032967028</v>
      </c>
      <c r="P11" s="13">
        <f>Table1[[#This Row],[Total Interviewed]]/Table1[[#This Row],[Total Contacted]]</f>
        <v>0.91803278688524592</v>
      </c>
      <c r="Q11" s="13">
        <f>Table1[[#This Row],[Total Rejected]]/Table1[[#This Row],[Total Interviewed]]</f>
        <v>0.6964285714285714</v>
      </c>
      <c r="R11" s="13">
        <f>Table1[[#This Row],[Total Selected]]/Table1[[#This Row],[Total Interviewed]]</f>
        <v>0.4642857142857143</v>
      </c>
      <c r="S11" s="13">
        <f>Table1[[#This Row],[Total Hired]]/Table1[[#This Row],[Total Selected]]</f>
        <v>0.30769230769230771</v>
      </c>
      <c r="T11" s="13" t="str">
        <f t="shared" si="0"/>
        <v>Jul</v>
      </c>
    </row>
    <row r="12" spans="1:20">
      <c r="A12" s="4">
        <v>45845</v>
      </c>
      <c r="B12" s="5" t="s">
        <v>13</v>
      </c>
      <c r="C12" s="5" t="s">
        <v>23</v>
      </c>
      <c r="D12" s="5" t="s">
        <v>15</v>
      </c>
      <c r="E12" s="3">
        <v>103</v>
      </c>
      <c r="F12" s="3">
        <v>85</v>
      </c>
      <c r="G12" s="3">
        <v>67</v>
      </c>
      <c r="H12" s="3">
        <v>51</v>
      </c>
      <c r="I12" s="3">
        <v>30</v>
      </c>
      <c r="J12" s="3">
        <v>21</v>
      </c>
      <c r="K12" s="3">
        <v>2</v>
      </c>
      <c r="L12" s="6">
        <v>45875</v>
      </c>
      <c r="M12" s="3">
        <f>IFERROR(MAX(Table1[[#This Row],[Final Joining Date]]-Table1[[#This Row],[Job Opening Date]], 0), 0)</f>
        <v>30</v>
      </c>
      <c r="N12" s="13">
        <f>Table1[[#This Row],[Total Shortlisted]]/Table1[[#This Row],[Total Applications]]</f>
        <v>0.82524271844660191</v>
      </c>
      <c r="O12" s="13">
        <f>Table1[[#This Row],[Total Contacted]]/Table1[[#This Row],[Total Shortlisted]]</f>
        <v>0.78823529411764703</v>
      </c>
      <c r="P12" s="13">
        <f>Table1[[#This Row],[Total Interviewed]]/Table1[[#This Row],[Total Contacted]]</f>
        <v>0.76119402985074625</v>
      </c>
      <c r="Q12" s="13">
        <f>Table1[[#This Row],[Total Rejected]]/Table1[[#This Row],[Total Interviewed]]</f>
        <v>0.58823529411764708</v>
      </c>
      <c r="R12" s="13">
        <f>Table1[[#This Row],[Total Selected]]/Table1[[#This Row],[Total Interviewed]]</f>
        <v>0.41176470588235292</v>
      </c>
      <c r="S12" s="13">
        <f>Table1[[#This Row],[Total Hired]]/Table1[[#This Row],[Total Selected]]</f>
        <v>9.5238095238095233E-2</v>
      </c>
      <c r="T12" s="13" t="str">
        <f t="shared" si="0"/>
        <v>Jul</v>
      </c>
    </row>
    <row r="13" spans="1:20">
      <c r="A13" s="4">
        <v>45825</v>
      </c>
      <c r="B13" s="5" t="s">
        <v>20</v>
      </c>
      <c r="C13" s="5" t="s">
        <v>23</v>
      </c>
      <c r="D13" s="5" t="s">
        <v>19</v>
      </c>
      <c r="E13" s="3">
        <v>119</v>
      </c>
      <c r="F13" s="3">
        <v>99</v>
      </c>
      <c r="G13" s="3">
        <v>76</v>
      </c>
      <c r="H13" s="3">
        <v>54</v>
      </c>
      <c r="I13" s="3">
        <v>39</v>
      </c>
      <c r="J13" s="3">
        <v>27</v>
      </c>
      <c r="K13" s="3">
        <v>6</v>
      </c>
      <c r="L13" s="6">
        <v>45864</v>
      </c>
      <c r="M13" s="3">
        <f>IFERROR(MAX(Table1[[#This Row],[Final Joining Date]]-Table1[[#This Row],[Job Opening Date]], 0), 0)</f>
        <v>39</v>
      </c>
      <c r="N13" s="13">
        <f>Table1[[#This Row],[Total Shortlisted]]/Table1[[#This Row],[Total Applications]]</f>
        <v>0.83193277310924374</v>
      </c>
      <c r="O13" s="13">
        <f>Table1[[#This Row],[Total Contacted]]/Table1[[#This Row],[Total Shortlisted]]</f>
        <v>0.76767676767676762</v>
      </c>
      <c r="P13" s="13">
        <f>Table1[[#This Row],[Total Interviewed]]/Table1[[#This Row],[Total Contacted]]</f>
        <v>0.71052631578947367</v>
      </c>
      <c r="Q13" s="13">
        <f>Table1[[#This Row],[Total Rejected]]/Table1[[#This Row],[Total Interviewed]]</f>
        <v>0.72222222222222221</v>
      </c>
      <c r="R13" s="13">
        <f>Table1[[#This Row],[Total Selected]]/Table1[[#This Row],[Total Interviewed]]</f>
        <v>0.5</v>
      </c>
      <c r="S13" s="13">
        <f>Table1[[#This Row],[Total Hired]]/Table1[[#This Row],[Total Selected]]</f>
        <v>0.22222222222222221</v>
      </c>
      <c r="T13" s="13" t="str">
        <f t="shared" si="0"/>
        <v>Jun</v>
      </c>
    </row>
    <row r="14" spans="1:20">
      <c r="A14" s="4">
        <v>45809</v>
      </c>
      <c r="B14" s="5" t="s">
        <v>13</v>
      </c>
      <c r="C14" s="5" t="s">
        <v>23</v>
      </c>
      <c r="D14" s="5" t="s">
        <v>15</v>
      </c>
      <c r="E14" s="3">
        <v>110</v>
      </c>
      <c r="F14" s="3">
        <v>88</v>
      </c>
      <c r="G14" s="3">
        <v>73</v>
      </c>
      <c r="H14" s="3">
        <v>53</v>
      </c>
      <c r="I14" s="3">
        <v>33</v>
      </c>
      <c r="J14" s="3">
        <v>19</v>
      </c>
      <c r="K14" s="3">
        <v>10</v>
      </c>
      <c r="L14" s="6">
        <v>45842</v>
      </c>
      <c r="M14" s="3">
        <f>IFERROR(MAX(Table1[[#This Row],[Final Joining Date]]-Table1[[#This Row],[Job Opening Date]], 0), 0)</f>
        <v>33</v>
      </c>
      <c r="N14" s="13">
        <f>Table1[[#This Row],[Total Shortlisted]]/Table1[[#This Row],[Total Applications]]</f>
        <v>0.8</v>
      </c>
      <c r="O14" s="13">
        <f>Table1[[#This Row],[Total Contacted]]/Table1[[#This Row],[Total Shortlisted]]</f>
        <v>0.82954545454545459</v>
      </c>
      <c r="P14" s="13">
        <f>Table1[[#This Row],[Total Interviewed]]/Table1[[#This Row],[Total Contacted]]</f>
        <v>0.72602739726027399</v>
      </c>
      <c r="Q14" s="13">
        <f>Table1[[#This Row],[Total Rejected]]/Table1[[#This Row],[Total Interviewed]]</f>
        <v>0.62264150943396224</v>
      </c>
      <c r="R14" s="13">
        <f>Table1[[#This Row],[Total Selected]]/Table1[[#This Row],[Total Interviewed]]</f>
        <v>0.35849056603773582</v>
      </c>
      <c r="S14" s="13">
        <f>Table1[[#This Row],[Total Hired]]/Table1[[#This Row],[Total Selected]]</f>
        <v>0.52631578947368418</v>
      </c>
      <c r="T14" s="13" t="str">
        <f t="shared" si="0"/>
        <v>Jun</v>
      </c>
    </row>
    <row r="15" spans="1:20">
      <c r="A15" s="4">
        <v>45789</v>
      </c>
      <c r="B15" s="5" t="s">
        <v>25</v>
      </c>
      <c r="C15" s="5" t="s">
        <v>26</v>
      </c>
      <c r="D15" s="5" t="s">
        <v>18</v>
      </c>
      <c r="E15" s="3">
        <v>119</v>
      </c>
      <c r="F15" s="3">
        <v>95</v>
      </c>
      <c r="G15" s="3">
        <v>79</v>
      </c>
      <c r="H15" s="3">
        <v>50</v>
      </c>
      <c r="I15" s="3">
        <v>39</v>
      </c>
      <c r="J15" s="3">
        <v>13</v>
      </c>
      <c r="K15" s="3">
        <v>8</v>
      </c>
      <c r="L15" s="6">
        <v>45828</v>
      </c>
      <c r="M15" s="3">
        <f>IFERROR(MAX(Table1[[#This Row],[Final Joining Date]]-Table1[[#This Row],[Job Opening Date]], 0), 0)</f>
        <v>39</v>
      </c>
      <c r="N15" s="13">
        <f>Table1[[#This Row],[Total Shortlisted]]/Table1[[#This Row],[Total Applications]]</f>
        <v>0.79831932773109249</v>
      </c>
      <c r="O15" s="13">
        <f>Table1[[#This Row],[Total Contacted]]/Table1[[#This Row],[Total Shortlisted]]</f>
        <v>0.83157894736842108</v>
      </c>
      <c r="P15" s="13">
        <f>Table1[[#This Row],[Total Interviewed]]/Table1[[#This Row],[Total Contacted]]</f>
        <v>0.63291139240506333</v>
      </c>
      <c r="Q15" s="13">
        <f>Table1[[#This Row],[Total Rejected]]/Table1[[#This Row],[Total Interviewed]]</f>
        <v>0.78</v>
      </c>
      <c r="R15" s="13">
        <f>Table1[[#This Row],[Total Selected]]/Table1[[#This Row],[Total Interviewed]]</f>
        <v>0.26</v>
      </c>
      <c r="S15" s="13">
        <f>Table1[[#This Row],[Total Hired]]/Table1[[#This Row],[Total Selected]]</f>
        <v>0.61538461538461542</v>
      </c>
      <c r="T15" s="13" t="str">
        <f t="shared" si="0"/>
        <v>May</v>
      </c>
    </row>
    <row r="16" spans="1:20">
      <c r="A16" s="4">
        <v>45792</v>
      </c>
      <c r="B16" s="5" t="s">
        <v>22</v>
      </c>
      <c r="C16" s="5" t="s">
        <v>17</v>
      </c>
      <c r="D16" s="5" t="s">
        <v>24</v>
      </c>
      <c r="E16" s="3">
        <v>132</v>
      </c>
      <c r="F16" s="3">
        <v>96</v>
      </c>
      <c r="G16" s="3">
        <v>61</v>
      </c>
      <c r="H16" s="3">
        <v>55</v>
      </c>
      <c r="I16" s="3">
        <v>39</v>
      </c>
      <c r="J16" s="3">
        <v>16</v>
      </c>
      <c r="K16" s="3">
        <v>5</v>
      </c>
      <c r="L16" s="6">
        <v>45831</v>
      </c>
      <c r="M16" s="3">
        <f>IFERROR(MAX(Table1[[#This Row],[Final Joining Date]]-Table1[[#This Row],[Job Opening Date]], 0), 0)</f>
        <v>39</v>
      </c>
      <c r="N16" s="13">
        <f>Table1[[#This Row],[Total Shortlisted]]/Table1[[#This Row],[Total Applications]]</f>
        <v>0.72727272727272729</v>
      </c>
      <c r="O16" s="13">
        <f>Table1[[#This Row],[Total Contacted]]/Table1[[#This Row],[Total Shortlisted]]</f>
        <v>0.63541666666666663</v>
      </c>
      <c r="P16" s="13">
        <f>Table1[[#This Row],[Total Interviewed]]/Table1[[#This Row],[Total Contacted]]</f>
        <v>0.90163934426229508</v>
      </c>
      <c r="Q16" s="13">
        <f>Table1[[#This Row],[Total Rejected]]/Table1[[#This Row],[Total Interviewed]]</f>
        <v>0.70909090909090911</v>
      </c>
      <c r="R16" s="13">
        <f>Table1[[#This Row],[Total Selected]]/Table1[[#This Row],[Total Interviewed]]</f>
        <v>0.29090909090909089</v>
      </c>
      <c r="S16" s="13">
        <f>Table1[[#This Row],[Total Hired]]/Table1[[#This Row],[Total Selected]]</f>
        <v>0.3125</v>
      </c>
      <c r="T16" s="13" t="str">
        <f t="shared" si="0"/>
        <v>May</v>
      </c>
    </row>
    <row r="17" spans="1:20">
      <c r="A17" s="4">
        <v>45823</v>
      </c>
      <c r="B17" s="5" t="s">
        <v>20</v>
      </c>
      <c r="C17" s="5" t="s">
        <v>21</v>
      </c>
      <c r="D17" s="5" t="s">
        <v>19</v>
      </c>
      <c r="E17" s="3">
        <v>128</v>
      </c>
      <c r="F17" s="3">
        <v>93</v>
      </c>
      <c r="G17" s="3">
        <v>78</v>
      </c>
      <c r="H17" s="3">
        <v>65</v>
      </c>
      <c r="I17" s="3">
        <v>39</v>
      </c>
      <c r="J17" s="3">
        <v>12</v>
      </c>
      <c r="K17" s="3">
        <v>6</v>
      </c>
      <c r="L17" s="6">
        <v>45862</v>
      </c>
      <c r="M17" s="3">
        <f>IFERROR(MAX(Table1[[#This Row],[Final Joining Date]]-Table1[[#This Row],[Job Opening Date]], 0), 0)</f>
        <v>39</v>
      </c>
      <c r="N17" s="13">
        <f>Table1[[#This Row],[Total Shortlisted]]/Table1[[#This Row],[Total Applications]]</f>
        <v>0.7265625</v>
      </c>
      <c r="O17" s="13">
        <f>Table1[[#This Row],[Total Contacted]]/Table1[[#This Row],[Total Shortlisted]]</f>
        <v>0.83870967741935487</v>
      </c>
      <c r="P17" s="13">
        <f>Table1[[#This Row],[Total Interviewed]]/Table1[[#This Row],[Total Contacted]]</f>
        <v>0.83333333333333337</v>
      </c>
      <c r="Q17" s="13">
        <f>Table1[[#This Row],[Total Rejected]]/Table1[[#This Row],[Total Interviewed]]</f>
        <v>0.6</v>
      </c>
      <c r="R17" s="13">
        <f>Table1[[#This Row],[Total Selected]]/Table1[[#This Row],[Total Interviewed]]</f>
        <v>0.18461538461538463</v>
      </c>
      <c r="S17" s="13">
        <f>Table1[[#This Row],[Total Hired]]/Table1[[#This Row],[Total Selected]]</f>
        <v>0.5</v>
      </c>
      <c r="T17" s="13" t="str">
        <f t="shared" si="0"/>
        <v>Jun</v>
      </c>
    </row>
    <row r="18" spans="1:20">
      <c r="A18" s="4">
        <v>45835</v>
      </c>
      <c r="B18" s="5" t="s">
        <v>22</v>
      </c>
      <c r="C18" s="5" t="s">
        <v>14</v>
      </c>
      <c r="D18" s="5" t="s">
        <v>27</v>
      </c>
      <c r="E18" s="3">
        <v>103</v>
      </c>
      <c r="F18" s="3">
        <v>97</v>
      </c>
      <c r="G18" s="3">
        <v>62</v>
      </c>
      <c r="H18" s="3">
        <v>62</v>
      </c>
      <c r="I18" s="3">
        <v>38</v>
      </c>
      <c r="J18" s="3">
        <v>28</v>
      </c>
      <c r="K18" s="3">
        <v>9</v>
      </c>
      <c r="L18" s="6">
        <v>45873</v>
      </c>
      <c r="M18" s="3">
        <f>IFERROR(MAX(Table1[[#This Row],[Final Joining Date]]-Table1[[#This Row],[Job Opening Date]], 0), 0)</f>
        <v>38</v>
      </c>
      <c r="N18" s="13">
        <f>Table1[[#This Row],[Total Shortlisted]]/Table1[[#This Row],[Total Applications]]</f>
        <v>0.94174757281553401</v>
      </c>
      <c r="O18" s="13">
        <f>Table1[[#This Row],[Total Contacted]]/Table1[[#This Row],[Total Shortlisted]]</f>
        <v>0.63917525773195871</v>
      </c>
      <c r="P18" s="13">
        <f>Table1[[#This Row],[Total Interviewed]]/Table1[[#This Row],[Total Contacted]]</f>
        <v>1</v>
      </c>
      <c r="Q18" s="13">
        <f>Table1[[#This Row],[Total Rejected]]/Table1[[#This Row],[Total Interviewed]]</f>
        <v>0.61290322580645162</v>
      </c>
      <c r="R18" s="13">
        <f>Table1[[#This Row],[Total Selected]]/Table1[[#This Row],[Total Interviewed]]</f>
        <v>0.45161290322580644</v>
      </c>
      <c r="S18" s="13">
        <f>Table1[[#This Row],[Total Hired]]/Table1[[#This Row],[Total Selected]]</f>
        <v>0.32142857142857145</v>
      </c>
      <c r="T18" s="13" t="str">
        <f t="shared" si="0"/>
        <v>Jun</v>
      </c>
    </row>
    <row r="19" spans="1:20">
      <c r="A19" s="4">
        <v>45807</v>
      </c>
      <c r="B19" s="5" t="s">
        <v>20</v>
      </c>
      <c r="C19" s="5" t="s">
        <v>17</v>
      </c>
      <c r="D19" s="5" t="s">
        <v>19</v>
      </c>
      <c r="E19" s="3">
        <v>109</v>
      </c>
      <c r="F19" s="3">
        <v>85</v>
      </c>
      <c r="G19" s="3">
        <v>79</v>
      </c>
      <c r="H19" s="3">
        <v>48</v>
      </c>
      <c r="I19" s="3">
        <v>38</v>
      </c>
      <c r="J19" s="3">
        <v>12</v>
      </c>
      <c r="K19" s="3">
        <v>2</v>
      </c>
      <c r="L19" s="6">
        <v>45845</v>
      </c>
      <c r="M19" s="3">
        <f>IFERROR(MAX(Table1[[#This Row],[Final Joining Date]]-Table1[[#This Row],[Job Opening Date]], 0), 0)</f>
        <v>38</v>
      </c>
      <c r="N19" s="13">
        <f>Table1[[#This Row],[Total Shortlisted]]/Table1[[#This Row],[Total Applications]]</f>
        <v>0.77981651376146788</v>
      </c>
      <c r="O19" s="13">
        <f>Table1[[#This Row],[Total Contacted]]/Table1[[#This Row],[Total Shortlisted]]</f>
        <v>0.92941176470588238</v>
      </c>
      <c r="P19" s="13">
        <f>Table1[[#This Row],[Total Interviewed]]/Table1[[#This Row],[Total Contacted]]</f>
        <v>0.60759493670886078</v>
      </c>
      <c r="Q19" s="13">
        <f>Table1[[#This Row],[Total Rejected]]/Table1[[#This Row],[Total Interviewed]]</f>
        <v>0.79166666666666663</v>
      </c>
      <c r="R19" s="13">
        <f>Table1[[#This Row],[Total Selected]]/Table1[[#This Row],[Total Interviewed]]</f>
        <v>0.25</v>
      </c>
      <c r="S19" s="13">
        <f>Table1[[#This Row],[Total Hired]]/Table1[[#This Row],[Total Selected]]</f>
        <v>0.16666666666666666</v>
      </c>
      <c r="T19" s="13" t="str">
        <f t="shared" si="0"/>
        <v>May</v>
      </c>
    </row>
    <row r="20" spans="1:20">
      <c r="A20" s="4">
        <v>45786</v>
      </c>
      <c r="B20" s="5" t="s">
        <v>13</v>
      </c>
      <c r="C20" s="5" t="s">
        <v>14</v>
      </c>
      <c r="D20" s="5" t="s">
        <v>15</v>
      </c>
      <c r="E20" s="3">
        <v>105</v>
      </c>
      <c r="F20" s="3">
        <v>90</v>
      </c>
      <c r="G20" s="3">
        <v>60</v>
      </c>
      <c r="H20" s="3">
        <v>51</v>
      </c>
      <c r="I20" s="3">
        <v>40</v>
      </c>
      <c r="J20" s="3">
        <v>30</v>
      </c>
      <c r="K20" s="3">
        <v>3</v>
      </c>
      <c r="L20" s="6">
        <v>45826</v>
      </c>
      <c r="M20" s="3">
        <f>IFERROR(MAX(Table1[[#This Row],[Final Joining Date]]-Table1[[#This Row],[Job Opening Date]], 0), 0)</f>
        <v>40</v>
      </c>
      <c r="N20" s="13">
        <f>Table1[[#This Row],[Total Shortlisted]]/Table1[[#This Row],[Total Applications]]</f>
        <v>0.8571428571428571</v>
      </c>
      <c r="O20" s="13">
        <f>Table1[[#This Row],[Total Contacted]]/Table1[[#This Row],[Total Shortlisted]]</f>
        <v>0.66666666666666663</v>
      </c>
      <c r="P20" s="13">
        <f>Table1[[#This Row],[Total Interviewed]]/Table1[[#This Row],[Total Contacted]]</f>
        <v>0.85</v>
      </c>
      <c r="Q20" s="13">
        <f>Table1[[#This Row],[Total Rejected]]/Table1[[#This Row],[Total Interviewed]]</f>
        <v>0.78431372549019607</v>
      </c>
      <c r="R20" s="13">
        <f>Table1[[#This Row],[Total Selected]]/Table1[[#This Row],[Total Interviewed]]</f>
        <v>0.58823529411764708</v>
      </c>
      <c r="S20" s="13">
        <f>Table1[[#This Row],[Total Hired]]/Table1[[#This Row],[Total Selected]]</f>
        <v>0.1</v>
      </c>
      <c r="T20" s="13" t="str">
        <f t="shared" si="0"/>
        <v>May</v>
      </c>
    </row>
    <row r="21" spans="1:20">
      <c r="A21" s="4">
        <v>45815</v>
      </c>
      <c r="B21" s="5" t="s">
        <v>25</v>
      </c>
      <c r="C21" s="5" t="s">
        <v>26</v>
      </c>
      <c r="D21" s="5" t="s">
        <v>27</v>
      </c>
      <c r="E21" s="3">
        <v>123</v>
      </c>
      <c r="F21" s="3">
        <v>94</v>
      </c>
      <c r="G21" s="3">
        <v>73</v>
      </c>
      <c r="H21" s="3">
        <v>56</v>
      </c>
      <c r="I21" s="3">
        <v>31</v>
      </c>
      <c r="J21" s="3">
        <v>24</v>
      </c>
      <c r="K21" s="3">
        <v>4</v>
      </c>
      <c r="L21" s="6">
        <v>45846</v>
      </c>
      <c r="M21" s="3">
        <f>IFERROR(MAX(Table1[[#This Row],[Final Joining Date]]-Table1[[#This Row],[Job Opening Date]], 0), 0)</f>
        <v>31</v>
      </c>
      <c r="N21" s="13">
        <f>Table1[[#This Row],[Total Shortlisted]]/Table1[[#This Row],[Total Applications]]</f>
        <v>0.76422764227642281</v>
      </c>
      <c r="O21" s="13">
        <f>Table1[[#This Row],[Total Contacted]]/Table1[[#This Row],[Total Shortlisted]]</f>
        <v>0.77659574468085102</v>
      </c>
      <c r="P21" s="13">
        <f>Table1[[#This Row],[Total Interviewed]]/Table1[[#This Row],[Total Contacted]]</f>
        <v>0.76712328767123283</v>
      </c>
      <c r="Q21" s="13">
        <f>Table1[[#This Row],[Total Rejected]]/Table1[[#This Row],[Total Interviewed]]</f>
        <v>0.5535714285714286</v>
      </c>
      <c r="R21" s="13">
        <f>Table1[[#This Row],[Total Selected]]/Table1[[#This Row],[Total Interviewed]]</f>
        <v>0.42857142857142855</v>
      </c>
      <c r="S21" s="13">
        <f>Table1[[#This Row],[Total Hired]]/Table1[[#This Row],[Total Selected]]</f>
        <v>0.16666666666666666</v>
      </c>
      <c r="T21" s="13" t="str">
        <f t="shared" si="0"/>
        <v>Jun</v>
      </c>
    </row>
    <row r="22" spans="1:20">
      <c r="A22" s="4">
        <v>45802</v>
      </c>
      <c r="B22" s="5" t="s">
        <v>25</v>
      </c>
      <c r="C22" s="5" t="s">
        <v>14</v>
      </c>
      <c r="D22" s="5" t="s">
        <v>19</v>
      </c>
      <c r="E22" s="3">
        <v>136</v>
      </c>
      <c r="F22" s="3">
        <v>94</v>
      </c>
      <c r="G22" s="3">
        <v>67</v>
      </c>
      <c r="H22" s="3">
        <v>65</v>
      </c>
      <c r="I22" s="3">
        <v>37</v>
      </c>
      <c r="J22" s="3">
        <v>25</v>
      </c>
      <c r="K22" s="3">
        <v>6</v>
      </c>
      <c r="L22" s="6">
        <v>45839</v>
      </c>
      <c r="M22" s="3">
        <f>IFERROR(MAX(Table1[[#This Row],[Final Joining Date]]-Table1[[#This Row],[Job Opening Date]], 0), 0)</f>
        <v>37</v>
      </c>
      <c r="N22" s="13">
        <f>Table1[[#This Row],[Total Shortlisted]]/Table1[[#This Row],[Total Applications]]</f>
        <v>0.69117647058823528</v>
      </c>
      <c r="O22" s="13">
        <f>Table1[[#This Row],[Total Contacted]]/Table1[[#This Row],[Total Shortlisted]]</f>
        <v>0.71276595744680848</v>
      </c>
      <c r="P22" s="13">
        <f>Table1[[#This Row],[Total Interviewed]]/Table1[[#This Row],[Total Contacted]]</f>
        <v>0.97014925373134331</v>
      </c>
      <c r="Q22" s="13">
        <f>Table1[[#This Row],[Total Rejected]]/Table1[[#This Row],[Total Interviewed]]</f>
        <v>0.56923076923076921</v>
      </c>
      <c r="R22" s="13">
        <f>Table1[[#This Row],[Total Selected]]/Table1[[#This Row],[Total Interviewed]]</f>
        <v>0.38461538461538464</v>
      </c>
      <c r="S22" s="13">
        <f>Table1[[#This Row],[Total Hired]]/Table1[[#This Row],[Total Selected]]</f>
        <v>0.24</v>
      </c>
      <c r="T22" s="13" t="str">
        <f t="shared" si="0"/>
        <v>May</v>
      </c>
    </row>
    <row r="23" spans="1:20">
      <c r="A23" s="4">
        <v>45829</v>
      </c>
      <c r="B23" s="5" t="s">
        <v>13</v>
      </c>
      <c r="C23" s="5" t="s">
        <v>21</v>
      </c>
      <c r="D23" s="5" t="s">
        <v>24</v>
      </c>
      <c r="E23" s="3">
        <v>100</v>
      </c>
      <c r="F23" s="3">
        <v>95</v>
      </c>
      <c r="G23" s="3">
        <v>64</v>
      </c>
      <c r="H23" s="3">
        <v>45</v>
      </c>
      <c r="I23" s="3">
        <v>39</v>
      </c>
      <c r="J23" s="3">
        <v>16</v>
      </c>
      <c r="K23" s="3">
        <v>7</v>
      </c>
      <c r="L23" s="6">
        <v>45868</v>
      </c>
      <c r="M23" s="3">
        <f>IFERROR(MAX(Table1[[#This Row],[Final Joining Date]]-Table1[[#This Row],[Job Opening Date]], 0), 0)</f>
        <v>39</v>
      </c>
      <c r="N23" s="13">
        <f>Table1[[#This Row],[Total Shortlisted]]/Table1[[#This Row],[Total Applications]]</f>
        <v>0.95</v>
      </c>
      <c r="O23" s="13">
        <f>Table1[[#This Row],[Total Contacted]]/Table1[[#This Row],[Total Shortlisted]]</f>
        <v>0.67368421052631577</v>
      </c>
      <c r="P23" s="13">
        <f>Table1[[#This Row],[Total Interviewed]]/Table1[[#This Row],[Total Contacted]]</f>
        <v>0.703125</v>
      </c>
      <c r="Q23" s="13">
        <f>Table1[[#This Row],[Total Rejected]]/Table1[[#This Row],[Total Interviewed]]</f>
        <v>0.8666666666666667</v>
      </c>
      <c r="R23" s="13">
        <f>Table1[[#This Row],[Total Selected]]/Table1[[#This Row],[Total Interviewed]]</f>
        <v>0.35555555555555557</v>
      </c>
      <c r="S23" s="13">
        <f>Table1[[#This Row],[Total Hired]]/Table1[[#This Row],[Total Selected]]</f>
        <v>0.4375</v>
      </c>
      <c r="T23" s="13" t="str">
        <f t="shared" si="0"/>
        <v>Jun</v>
      </c>
    </row>
    <row r="24" spans="1:20">
      <c r="A24" s="4">
        <v>45826</v>
      </c>
      <c r="B24" s="5" t="s">
        <v>22</v>
      </c>
      <c r="C24" s="5" t="s">
        <v>14</v>
      </c>
      <c r="D24" s="5" t="s">
        <v>19</v>
      </c>
      <c r="E24" s="3">
        <v>104</v>
      </c>
      <c r="F24" s="3">
        <v>97</v>
      </c>
      <c r="G24" s="3">
        <v>61</v>
      </c>
      <c r="H24" s="3">
        <v>56</v>
      </c>
      <c r="I24" s="3">
        <v>35</v>
      </c>
      <c r="J24" s="3">
        <v>27</v>
      </c>
      <c r="K24" s="3">
        <v>10</v>
      </c>
      <c r="L24" s="6">
        <v>45861</v>
      </c>
      <c r="M24" s="3">
        <f>IFERROR(MAX(Table1[[#This Row],[Final Joining Date]]-Table1[[#This Row],[Job Opening Date]], 0), 0)</f>
        <v>35</v>
      </c>
      <c r="N24" s="13">
        <f>Table1[[#This Row],[Total Shortlisted]]/Table1[[#This Row],[Total Applications]]</f>
        <v>0.93269230769230771</v>
      </c>
      <c r="O24" s="13">
        <f>Table1[[#This Row],[Total Contacted]]/Table1[[#This Row],[Total Shortlisted]]</f>
        <v>0.62886597938144329</v>
      </c>
      <c r="P24" s="13">
        <f>Table1[[#This Row],[Total Interviewed]]/Table1[[#This Row],[Total Contacted]]</f>
        <v>0.91803278688524592</v>
      </c>
      <c r="Q24" s="13">
        <f>Table1[[#This Row],[Total Rejected]]/Table1[[#This Row],[Total Interviewed]]</f>
        <v>0.625</v>
      </c>
      <c r="R24" s="13">
        <f>Table1[[#This Row],[Total Selected]]/Table1[[#This Row],[Total Interviewed]]</f>
        <v>0.48214285714285715</v>
      </c>
      <c r="S24" s="13">
        <f>Table1[[#This Row],[Total Hired]]/Table1[[#This Row],[Total Selected]]</f>
        <v>0.37037037037037035</v>
      </c>
      <c r="T24" s="13" t="str">
        <f t="shared" si="0"/>
        <v>Jun</v>
      </c>
    </row>
    <row r="25" spans="1:20">
      <c r="A25" s="4">
        <v>45818</v>
      </c>
      <c r="B25" s="5" t="s">
        <v>22</v>
      </c>
      <c r="C25" s="5" t="s">
        <v>14</v>
      </c>
      <c r="D25" s="5" t="s">
        <v>24</v>
      </c>
      <c r="E25" s="3">
        <v>110</v>
      </c>
      <c r="F25" s="3">
        <v>93</v>
      </c>
      <c r="G25" s="3">
        <v>62</v>
      </c>
      <c r="H25" s="3">
        <v>57</v>
      </c>
      <c r="I25" s="3">
        <v>31</v>
      </c>
      <c r="J25" s="3">
        <v>14</v>
      </c>
      <c r="K25" s="3">
        <v>1</v>
      </c>
      <c r="L25" s="6">
        <v>45849</v>
      </c>
      <c r="M25" s="3">
        <f>IFERROR(MAX(Table1[[#This Row],[Final Joining Date]]-Table1[[#This Row],[Job Opening Date]], 0), 0)</f>
        <v>31</v>
      </c>
      <c r="N25" s="13">
        <f>Table1[[#This Row],[Total Shortlisted]]/Table1[[#This Row],[Total Applications]]</f>
        <v>0.84545454545454546</v>
      </c>
      <c r="O25" s="13">
        <f>Table1[[#This Row],[Total Contacted]]/Table1[[#This Row],[Total Shortlisted]]</f>
        <v>0.66666666666666663</v>
      </c>
      <c r="P25" s="13">
        <f>Table1[[#This Row],[Total Interviewed]]/Table1[[#This Row],[Total Contacted]]</f>
        <v>0.91935483870967738</v>
      </c>
      <c r="Q25" s="13">
        <f>Table1[[#This Row],[Total Rejected]]/Table1[[#This Row],[Total Interviewed]]</f>
        <v>0.54385964912280704</v>
      </c>
      <c r="R25" s="13">
        <f>Table1[[#This Row],[Total Selected]]/Table1[[#This Row],[Total Interviewed]]</f>
        <v>0.24561403508771928</v>
      </c>
      <c r="S25" s="13">
        <f>Table1[[#This Row],[Total Hired]]/Table1[[#This Row],[Total Selected]]</f>
        <v>7.1428571428571425E-2</v>
      </c>
      <c r="T25" s="13" t="str">
        <f t="shared" si="0"/>
        <v>Jun</v>
      </c>
    </row>
    <row r="26" spans="1:20">
      <c r="A26" s="4">
        <v>45796</v>
      </c>
      <c r="B26" s="5" t="s">
        <v>25</v>
      </c>
      <c r="C26" s="5" t="s">
        <v>26</v>
      </c>
      <c r="D26" s="5" t="s">
        <v>18</v>
      </c>
      <c r="E26" s="3">
        <v>139</v>
      </c>
      <c r="F26" s="3">
        <v>99</v>
      </c>
      <c r="G26" s="3">
        <v>75</v>
      </c>
      <c r="H26" s="3">
        <v>42</v>
      </c>
      <c r="I26" s="3">
        <v>36</v>
      </c>
      <c r="J26" s="3">
        <v>27</v>
      </c>
      <c r="K26" s="3">
        <v>10</v>
      </c>
      <c r="L26" s="6">
        <v>45832</v>
      </c>
      <c r="M26" s="3">
        <f>IFERROR(MAX(Table1[[#This Row],[Final Joining Date]]-Table1[[#This Row],[Job Opening Date]], 0), 0)</f>
        <v>36</v>
      </c>
      <c r="N26" s="13">
        <f>Table1[[#This Row],[Total Shortlisted]]/Table1[[#This Row],[Total Applications]]</f>
        <v>0.71223021582733814</v>
      </c>
      <c r="O26" s="13">
        <f>Table1[[#This Row],[Total Contacted]]/Table1[[#This Row],[Total Shortlisted]]</f>
        <v>0.75757575757575757</v>
      </c>
      <c r="P26" s="13">
        <f>Table1[[#This Row],[Total Interviewed]]/Table1[[#This Row],[Total Contacted]]</f>
        <v>0.56000000000000005</v>
      </c>
      <c r="Q26" s="13">
        <f>Table1[[#This Row],[Total Rejected]]/Table1[[#This Row],[Total Interviewed]]</f>
        <v>0.8571428571428571</v>
      </c>
      <c r="R26" s="13">
        <f>Table1[[#This Row],[Total Selected]]/Table1[[#This Row],[Total Interviewed]]</f>
        <v>0.6428571428571429</v>
      </c>
      <c r="S26" s="13">
        <f>Table1[[#This Row],[Total Hired]]/Table1[[#This Row],[Total Selected]]</f>
        <v>0.37037037037037035</v>
      </c>
      <c r="T26" s="13" t="str">
        <f t="shared" si="0"/>
        <v>May</v>
      </c>
    </row>
    <row r="27" spans="1:20">
      <c r="A27" s="4">
        <v>45819</v>
      </c>
      <c r="B27" s="5" t="s">
        <v>22</v>
      </c>
      <c r="C27" s="5" t="s">
        <v>26</v>
      </c>
      <c r="D27" s="5" t="s">
        <v>27</v>
      </c>
      <c r="E27" s="3">
        <v>125</v>
      </c>
      <c r="F27" s="3">
        <v>96</v>
      </c>
      <c r="G27" s="3">
        <v>66</v>
      </c>
      <c r="H27" s="3">
        <v>49</v>
      </c>
      <c r="I27" s="3">
        <v>34</v>
      </c>
      <c r="J27" s="3">
        <v>14</v>
      </c>
      <c r="K27" s="3">
        <v>10</v>
      </c>
      <c r="L27" s="6">
        <v>45853</v>
      </c>
      <c r="M27" s="3">
        <f>IFERROR(MAX(Table1[[#This Row],[Final Joining Date]]-Table1[[#This Row],[Job Opening Date]], 0), 0)</f>
        <v>34</v>
      </c>
      <c r="N27" s="13">
        <f>Table1[[#This Row],[Total Shortlisted]]/Table1[[#This Row],[Total Applications]]</f>
        <v>0.76800000000000002</v>
      </c>
      <c r="O27" s="13">
        <f>Table1[[#This Row],[Total Contacted]]/Table1[[#This Row],[Total Shortlisted]]</f>
        <v>0.6875</v>
      </c>
      <c r="P27" s="13">
        <f>Table1[[#This Row],[Total Interviewed]]/Table1[[#This Row],[Total Contacted]]</f>
        <v>0.74242424242424243</v>
      </c>
      <c r="Q27" s="13">
        <f>Table1[[#This Row],[Total Rejected]]/Table1[[#This Row],[Total Interviewed]]</f>
        <v>0.69387755102040816</v>
      </c>
      <c r="R27" s="13">
        <f>Table1[[#This Row],[Total Selected]]/Table1[[#This Row],[Total Interviewed]]</f>
        <v>0.2857142857142857</v>
      </c>
      <c r="S27" s="13">
        <f>Table1[[#This Row],[Total Hired]]/Table1[[#This Row],[Total Selected]]</f>
        <v>0.7142857142857143</v>
      </c>
      <c r="T27" s="13" t="str">
        <f t="shared" si="0"/>
        <v>Jun</v>
      </c>
    </row>
    <row r="28" spans="1:20">
      <c r="A28" s="4">
        <v>45799</v>
      </c>
      <c r="B28" s="5" t="s">
        <v>25</v>
      </c>
      <c r="C28" s="5" t="s">
        <v>26</v>
      </c>
      <c r="D28" s="5" t="s">
        <v>24</v>
      </c>
      <c r="E28" s="3">
        <v>119</v>
      </c>
      <c r="F28" s="3">
        <v>93</v>
      </c>
      <c r="G28" s="3">
        <v>73</v>
      </c>
      <c r="H28" s="3">
        <v>64</v>
      </c>
      <c r="I28" s="3">
        <v>35</v>
      </c>
      <c r="J28" s="3">
        <v>10</v>
      </c>
      <c r="K28" s="3">
        <v>10</v>
      </c>
      <c r="L28" s="6">
        <v>45834</v>
      </c>
      <c r="M28" s="3">
        <f>IFERROR(MAX(Table1[[#This Row],[Final Joining Date]]-Table1[[#This Row],[Job Opening Date]], 0), 0)</f>
        <v>35</v>
      </c>
      <c r="N28" s="13">
        <f>Table1[[#This Row],[Total Shortlisted]]/Table1[[#This Row],[Total Applications]]</f>
        <v>0.78151260504201681</v>
      </c>
      <c r="O28" s="13">
        <f>Table1[[#This Row],[Total Contacted]]/Table1[[#This Row],[Total Shortlisted]]</f>
        <v>0.78494623655913975</v>
      </c>
      <c r="P28" s="13">
        <f>Table1[[#This Row],[Total Interviewed]]/Table1[[#This Row],[Total Contacted]]</f>
        <v>0.87671232876712324</v>
      </c>
      <c r="Q28" s="13">
        <f>Table1[[#This Row],[Total Rejected]]/Table1[[#This Row],[Total Interviewed]]</f>
        <v>0.546875</v>
      </c>
      <c r="R28" s="13">
        <f>Table1[[#This Row],[Total Selected]]/Table1[[#This Row],[Total Interviewed]]</f>
        <v>0.15625</v>
      </c>
      <c r="S28" s="13">
        <f>Table1[[#This Row],[Total Hired]]/Table1[[#This Row],[Total Selected]]</f>
        <v>1</v>
      </c>
      <c r="T28" s="13" t="str">
        <f t="shared" si="0"/>
        <v>May</v>
      </c>
    </row>
    <row r="29" spans="1:20">
      <c r="A29" s="4">
        <v>45827</v>
      </c>
      <c r="B29" s="5" t="s">
        <v>25</v>
      </c>
      <c r="C29" s="5" t="s">
        <v>21</v>
      </c>
      <c r="D29" s="5" t="s">
        <v>19</v>
      </c>
      <c r="E29" s="3">
        <v>145</v>
      </c>
      <c r="F29" s="3">
        <v>96</v>
      </c>
      <c r="G29" s="3">
        <v>78</v>
      </c>
      <c r="H29" s="3">
        <v>52</v>
      </c>
      <c r="I29" s="3">
        <v>38</v>
      </c>
      <c r="J29" s="3">
        <v>28</v>
      </c>
      <c r="K29" s="3">
        <v>7</v>
      </c>
      <c r="L29" s="6">
        <v>45865</v>
      </c>
      <c r="M29" s="3">
        <f>IFERROR(MAX(Table1[[#This Row],[Final Joining Date]]-Table1[[#This Row],[Job Opening Date]], 0), 0)</f>
        <v>38</v>
      </c>
      <c r="N29" s="13">
        <f>Table1[[#This Row],[Total Shortlisted]]/Table1[[#This Row],[Total Applications]]</f>
        <v>0.66206896551724137</v>
      </c>
      <c r="O29" s="13">
        <f>Table1[[#This Row],[Total Contacted]]/Table1[[#This Row],[Total Shortlisted]]</f>
        <v>0.8125</v>
      </c>
      <c r="P29" s="13">
        <f>Table1[[#This Row],[Total Interviewed]]/Table1[[#This Row],[Total Contacted]]</f>
        <v>0.66666666666666663</v>
      </c>
      <c r="Q29" s="13">
        <f>Table1[[#This Row],[Total Rejected]]/Table1[[#This Row],[Total Interviewed]]</f>
        <v>0.73076923076923073</v>
      </c>
      <c r="R29" s="13">
        <f>Table1[[#This Row],[Total Selected]]/Table1[[#This Row],[Total Interviewed]]</f>
        <v>0.53846153846153844</v>
      </c>
      <c r="S29" s="13">
        <f>Table1[[#This Row],[Total Hired]]/Table1[[#This Row],[Total Selected]]</f>
        <v>0.25</v>
      </c>
      <c r="T29" s="13" t="str">
        <f t="shared" si="0"/>
        <v>Jun</v>
      </c>
    </row>
    <row r="30" spans="1:20">
      <c r="A30" s="4">
        <v>45839</v>
      </c>
      <c r="B30" s="5" t="s">
        <v>13</v>
      </c>
      <c r="C30" s="5" t="s">
        <v>26</v>
      </c>
      <c r="D30" s="5" t="s">
        <v>18</v>
      </c>
      <c r="E30" s="3">
        <v>140</v>
      </c>
      <c r="F30" s="3">
        <v>95</v>
      </c>
      <c r="G30" s="3">
        <v>73</v>
      </c>
      <c r="H30" s="3">
        <v>53</v>
      </c>
      <c r="I30" s="3">
        <v>36</v>
      </c>
      <c r="J30" s="3">
        <v>28</v>
      </c>
      <c r="K30" s="3">
        <v>7</v>
      </c>
      <c r="L30" s="6">
        <v>45875</v>
      </c>
      <c r="M30" s="3">
        <f>IFERROR(MAX(Table1[[#This Row],[Final Joining Date]]-Table1[[#This Row],[Job Opening Date]], 0), 0)</f>
        <v>36</v>
      </c>
      <c r="N30" s="13">
        <f>Table1[[#This Row],[Total Shortlisted]]/Table1[[#This Row],[Total Applications]]</f>
        <v>0.6785714285714286</v>
      </c>
      <c r="O30" s="13">
        <f>Table1[[#This Row],[Total Contacted]]/Table1[[#This Row],[Total Shortlisted]]</f>
        <v>0.76842105263157889</v>
      </c>
      <c r="P30" s="13">
        <f>Table1[[#This Row],[Total Interviewed]]/Table1[[#This Row],[Total Contacted]]</f>
        <v>0.72602739726027399</v>
      </c>
      <c r="Q30" s="13">
        <f>Table1[[#This Row],[Total Rejected]]/Table1[[#This Row],[Total Interviewed]]</f>
        <v>0.67924528301886788</v>
      </c>
      <c r="R30" s="13">
        <f>Table1[[#This Row],[Total Selected]]/Table1[[#This Row],[Total Interviewed]]</f>
        <v>0.52830188679245282</v>
      </c>
      <c r="S30" s="13">
        <f>Table1[[#This Row],[Total Hired]]/Table1[[#This Row],[Total Selected]]</f>
        <v>0.25</v>
      </c>
      <c r="T30" s="13" t="str">
        <f t="shared" si="0"/>
        <v>Jul</v>
      </c>
    </row>
    <row r="31" spans="1:20">
      <c r="A31" s="4">
        <v>45786</v>
      </c>
      <c r="B31" s="5" t="s">
        <v>16</v>
      </c>
      <c r="C31" s="5" t="s">
        <v>23</v>
      </c>
      <c r="D31" s="5" t="s">
        <v>27</v>
      </c>
      <c r="E31" s="3">
        <v>145</v>
      </c>
      <c r="F31" s="3">
        <v>97</v>
      </c>
      <c r="G31" s="3">
        <v>77</v>
      </c>
      <c r="H31" s="3">
        <v>43</v>
      </c>
      <c r="I31" s="3">
        <v>34</v>
      </c>
      <c r="J31" s="3">
        <v>30</v>
      </c>
      <c r="K31" s="3">
        <v>3</v>
      </c>
      <c r="L31" s="6">
        <v>45820</v>
      </c>
      <c r="M31" s="3">
        <f>IFERROR(MAX(Table1[[#This Row],[Final Joining Date]]-Table1[[#This Row],[Job Opening Date]], 0), 0)</f>
        <v>34</v>
      </c>
      <c r="N31" s="13">
        <f>Table1[[#This Row],[Total Shortlisted]]/Table1[[#This Row],[Total Applications]]</f>
        <v>0.66896551724137931</v>
      </c>
      <c r="O31" s="13">
        <f>Table1[[#This Row],[Total Contacted]]/Table1[[#This Row],[Total Shortlisted]]</f>
        <v>0.79381443298969068</v>
      </c>
      <c r="P31" s="13">
        <f>Table1[[#This Row],[Total Interviewed]]/Table1[[#This Row],[Total Contacted]]</f>
        <v>0.55844155844155841</v>
      </c>
      <c r="Q31" s="13">
        <f>Table1[[#This Row],[Total Rejected]]/Table1[[#This Row],[Total Interviewed]]</f>
        <v>0.79069767441860461</v>
      </c>
      <c r="R31" s="13">
        <f>Table1[[#This Row],[Total Selected]]/Table1[[#This Row],[Total Interviewed]]</f>
        <v>0.69767441860465118</v>
      </c>
      <c r="S31" s="13">
        <f>Table1[[#This Row],[Total Hired]]/Table1[[#This Row],[Total Selected]]</f>
        <v>0.1</v>
      </c>
      <c r="T31" s="13" t="str">
        <f t="shared" si="0"/>
        <v>May</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Job Role KP1s</vt:lpstr>
      <vt:lpstr>Recruiting Dashboard</vt:lpstr>
      <vt:lpstr>Master Data</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faheem shahzad</dc:creator>
  <cp:lastModifiedBy>NEW</cp:lastModifiedBy>
  <dcterms:created xsi:type="dcterms:W3CDTF">2025-07-12T17:50:47Z</dcterms:created>
  <dcterms:modified xsi:type="dcterms:W3CDTF">2025-08-15T08:09:11Z</dcterms:modified>
</cp:coreProperties>
</file>