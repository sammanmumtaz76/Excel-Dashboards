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NEW\OneDrive\Desktop\excel data\"/>
    </mc:Choice>
  </mc:AlternateContent>
  <bookViews>
    <workbookView xWindow="0" yWindow="0" windowWidth="20490" windowHeight="9045" activeTab="2"/>
  </bookViews>
  <sheets>
    <sheet name="Sheet1" sheetId="1" r:id="rId1"/>
    <sheet name="Pivot Table" sheetId="2" r:id="rId2"/>
    <sheet name="Dashboard" sheetId="3" r:id="rId3"/>
  </sheets>
  <externalReferences>
    <externalReference r:id="rId4"/>
  </externalReferences>
  <definedNames>
    <definedName name="Slicer_Department">#N/A</definedName>
    <definedName name="Slicer_Gender">#N/A</definedName>
    <definedName name="Slicer_Performance_Category">#N/A</definedName>
    <definedName name="Slicer_Year_Joined">#N/A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O52" i="1" l="1"/>
  <c r="C23" i="2"/>
  <c r="C28" i="2"/>
  <c r="D14" i="2" l="1"/>
  <c r="C14" i="2"/>
  <c r="C10" i="2"/>
  <c r="C6" i="2"/>
  <c r="C2" i="2"/>
</calcChain>
</file>

<file path=xl/sharedStrings.xml><?xml version="1.0" encoding="utf-8"?>
<sst xmlns="http://schemas.openxmlformats.org/spreadsheetml/2006/main" count="378" uniqueCount="143">
  <si>
    <t>Employee ID</t>
  </si>
  <si>
    <t>Name</t>
  </si>
  <si>
    <t>Gender</t>
  </si>
  <si>
    <t>Department</t>
  </si>
  <si>
    <t>Salary</t>
  </si>
  <si>
    <t>Working Hours/Week</t>
  </si>
  <si>
    <t>Performance Score</t>
  </si>
  <si>
    <t>Certification Count</t>
  </si>
  <si>
    <t>Monthly Attendance (%)</t>
  </si>
  <si>
    <t>Year Joined</t>
  </si>
  <si>
    <t>Overtime Hours/Month</t>
  </si>
  <si>
    <t>Projects Completed</t>
  </si>
  <si>
    <t>Client Satisfaction Score</t>
  </si>
  <si>
    <t>Training Hours (Yearly)</t>
  </si>
  <si>
    <t>Promotion Eligibility</t>
  </si>
  <si>
    <t>Leave Days Taken (Yearly)</t>
  </si>
  <si>
    <t>Remote Work Days (Monthly)</t>
  </si>
  <si>
    <t>Performance Category</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</si>
  <si>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</si>
  <si>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</si>
  <si>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</si>
  <si>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</si>
  <si>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</si>
  <si>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</si>
  <si>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</si>
  <si>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</si>
  <si>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</si>
  <si>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</si>
  <si>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</si>
  <si>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</si>
  <si>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</si>
  <si>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</si>
  <si>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</si>
  <si>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</si>
  <si>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</si>
  <si>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</si>
  <si>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</si>
  <si>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</si>
  <si>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</si>
  <si>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</si>
  <si>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</si>
  <si>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</si>
  <si>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</si>
  <si>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</si>
  <si>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</si>
  <si>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</si>
  <si>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</si>
  <si>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</si>
  <si>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</si>
  <si>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</si>
  <si>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</si>
  <si>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</si>
  <si>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</si>
  <si>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</si>
  <si>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</si>
  <si>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</si>
  <si>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</si>
  <si>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</si>
  <si>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</si>
  <si>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</si>
  <si>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</si>
  <si>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</si>
  <si>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</si>
  <si>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</si>
  <si>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</si>
  <si>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</si>
  <si>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</si>
  <si>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</si>
  <si>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Employee_1</t>
  </si>
  <si>
    <t>Employee_2</t>
  </si>
  <si>
    <t>Employee_3</t>
  </si>
  <si>
    <t>Employee_4</t>
  </si>
  <si>
    <t>Employee_5</t>
  </si>
  <si>
    <t>Employee_6</t>
  </si>
  <si>
    <t>Employee_7</t>
  </si>
  <si>
    <t>Employee_8</t>
  </si>
  <si>
    <t>Employee_9</t>
  </si>
  <si>
    <t>Employee_10</t>
  </si>
  <si>
    <t>Employee_11</t>
  </si>
  <si>
    <t>Employee_12</t>
  </si>
  <si>
    <t>Employee_13</t>
  </si>
  <si>
    <t>Employee_14</t>
  </si>
  <si>
    <t>Employee_15</t>
  </si>
  <si>
    <t>Employee_16</t>
  </si>
  <si>
    <t>Employee_17</t>
  </si>
  <si>
    <t>Employee_18</t>
  </si>
  <si>
    <t>Employee_19</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</si>
  <si>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</si>
  <si>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</si>
  <si>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</si>
  <si>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</si>
  <si>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</si>
  <si>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</si>
  <si>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</si>
  <si>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</si>
  <si>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</si>
  <si>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</si>
  <si>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</si>
  <si>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</si>
  <si>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</si>
  <si>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</si>
  <si>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</si>
  <si>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</si>
  <si>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</si>
  <si>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</si>
  <si>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</si>
  <si>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</si>
  <si>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</si>
  <si>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</si>
  <si>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</si>
  <si>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</si>
  <si>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</si>
  <si>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</si>
  <si>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</si>
  <si>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</si>
  <si>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</si>
  <si>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</si>
  <si>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</si>
  <si>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Female</t>
  </si>
  <si>
    <t>Male</t>
  </si>
  <si>
    <t>Finance</t>
  </si>
  <si>
    <t>Marketing</t>
  </si>
  <si>
    <t>Sales</t>
  </si>
  <si>
    <t>IT</t>
  </si>
  <si>
    <t>HR</t>
  </si>
  <si>
    <t>Operations</t>
  </si>
  <si>
    <t>Yes</t>
  </si>
  <si>
    <t>No</t>
  </si>
  <si>
    <t>Excellent</t>
  </si>
  <si>
    <t>Average</t>
  </si>
  <si>
    <t>Below Average</t>
  </si>
  <si>
    <t>Count of Employee ID</t>
  </si>
  <si>
    <t>Total Employees</t>
  </si>
  <si>
    <t>Average of Salary</t>
  </si>
  <si>
    <t>Average Salary</t>
  </si>
  <si>
    <t>Average of Performance Score</t>
  </si>
  <si>
    <t>Row Labels</t>
  </si>
  <si>
    <t>Grand Total</t>
  </si>
  <si>
    <t>Average of Monthly Attendance (%)</t>
  </si>
  <si>
    <t>Count of Promotion Eligibility</t>
  </si>
  <si>
    <t>Sum of Performance Score</t>
  </si>
  <si>
    <t>Sum of Projects Completed</t>
  </si>
  <si>
    <t>(All)</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</si>
</sst>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pivotButton="1"/>
    <xf numFmtId="1" fontId="0" fillId="0" borderId="0" xfId="0" applyNumberFormat="1"/>
    <xf numFmtId="2" fontId="0" fillId="0" borderId="0" xfId="0" applyNumberFormat="1"/>
    <xf numFmtId="0" fontId="0" fillId="0" borderId="0" xfId="0" applyAlignment="1">
      <alignment horizontal="left"/>
    </xf>
    <xf numFmtId="0" fontId="0" fillId="3" borderId="3" xfId="0" applyFont="1" applyFill="1" applyBorder="1"/>
    <xf numFmtId="0" fontId="0" fillId="4" borderId="3" xfId="0" applyFont="1" applyFill="1" applyBorder="1"/>
    <xf numFmtId="10" fontId="0" fillId="0" borderId="0" xfId="0" applyNumberFormat="1"/>
    <xf numFmtId="9" fontId="0" fillId="0" borderId="0" xfId="1" applyFont="1"/>
    <xf numFmtId="0" fontId="3" fillId="2" borderId="2" xfId="0" applyFont="1" applyFill="1" applyBorder="1" applyAlignment="1">
      <alignment horizontal="center" vertical="top"/>
    </xf>
  </cellXfs>
  <cellStyles count="2">
    <cellStyle name="Normal" xfId="0" builtinId="0"/>
    <cellStyle name="Percent" xfId="1" builtinId="5"/>
  </cellStyles>
  <dxfs count="47">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 Dashboard.xlsx]Pivot Table!PivotTable6</c:name>
    <c:fmtId val="2"/>
  </c:pivotSource>
  <c:chart>
    <c:autoTitleDeleted val="1"/>
    <c:pivotFmts>
      <c:pivotFmt>
        <c:idx val="0"/>
        <c:spPr>
          <a:solidFill>
            <a:schemeClr val="bg2">
              <a:lumMod val="90000"/>
            </a:schemeClr>
          </a:solidFill>
          <a:ln w="19050">
            <a:solidFill>
              <a:schemeClr val="lt1"/>
            </a:solidFill>
          </a:ln>
          <a:effectLst/>
        </c:spPr>
        <c:marker>
          <c:symbol val="none"/>
        </c:marker>
      </c:pivotFmt>
      <c:pivotFmt>
        <c:idx val="1"/>
        <c:spPr>
          <a:solidFill>
            <a:schemeClr val="accent2"/>
          </a:solidFill>
          <a:ln w="19050">
            <a:solidFill>
              <a:schemeClr val="lt1"/>
            </a:solidFill>
          </a:ln>
          <a:effectLst/>
        </c:spPr>
      </c:pivotFmt>
      <c:pivotFmt>
        <c:idx val="2"/>
        <c:spPr>
          <a:solidFill>
            <a:schemeClr val="bg2">
              <a:lumMod val="90000"/>
            </a:schemeClr>
          </a:solidFill>
          <a:ln w="19050">
            <a:solidFill>
              <a:schemeClr val="lt1"/>
            </a:solidFill>
          </a:ln>
          <a:effectLst/>
        </c:spPr>
        <c:marker>
          <c:symbol val="none"/>
        </c:marker>
      </c:pivotFmt>
      <c:pivotFmt>
        <c:idx val="3"/>
        <c:spPr>
          <a:solidFill>
            <a:schemeClr val="bg2">
              <a:lumMod val="9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2">
              <a:lumMod val="90000"/>
            </a:schemeClr>
          </a:solidFill>
          <a:ln w="19050">
            <a:solidFill>
              <a:schemeClr val="lt1"/>
            </a:solidFill>
          </a:ln>
          <a:effectLst/>
        </c:spPr>
        <c:marker>
          <c:symbol val="none"/>
        </c:marker>
      </c:pivotFmt>
      <c:pivotFmt>
        <c:idx val="6"/>
        <c:spPr>
          <a:solidFill>
            <a:schemeClr val="bg2">
              <a:lumMod val="90000"/>
            </a:schemeClr>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31292517006802723"/>
          <c:y val="5.0505050505050504E-2"/>
          <c:w val="0.52380952380952384"/>
          <c:h val="0.77777777777777779"/>
        </c:manualLayout>
      </c:layout>
      <c:doughnutChart>
        <c:varyColors val="1"/>
        <c:ser>
          <c:idx val="0"/>
          <c:order val="0"/>
          <c:tx>
            <c:strRef>
              <c:f>'Pivot Table'!$B$26</c:f>
              <c:strCache>
                <c:ptCount val="1"/>
                <c:pt idx="0">
                  <c:v>Total</c:v>
                </c:pt>
              </c:strCache>
            </c:strRef>
          </c:tx>
          <c:spPr>
            <a:solidFill>
              <a:schemeClr val="bg2">
                <a:lumMod val="90000"/>
              </a:schemeClr>
            </a:solidFill>
          </c:spPr>
          <c:dPt>
            <c:idx val="0"/>
            <c:bubble3D val="0"/>
            <c:spPr>
              <a:solidFill>
                <a:schemeClr val="bg2">
                  <a:lumMod val="90000"/>
                </a:schemeClr>
              </a:solidFill>
              <a:ln w="19050">
                <a:solidFill>
                  <a:schemeClr val="lt1"/>
                </a:solidFill>
              </a:ln>
              <a:effectLst/>
            </c:spPr>
          </c:dPt>
          <c:dPt>
            <c:idx val="1"/>
            <c:bubble3D val="0"/>
            <c:spPr>
              <a:solidFill>
                <a:schemeClr val="accent2"/>
              </a:solidFill>
              <a:ln w="19050">
                <a:solidFill>
                  <a:schemeClr val="lt1"/>
                </a:solidFill>
              </a:ln>
              <a:effectLst/>
            </c:spPr>
          </c:dPt>
          <c:cat>
            <c:strRef>
              <c:f>'Pivot Table'!$A$27:$A$28</c:f>
              <c:strCache>
                <c:ptCount val="2"/>
                <c:pt idx="0">
                  <c:v>No</c:v>
                </c:pt>
                <c:pt idx="1">
                  <c:v>Yes</c:v>
                </c:pt>
              </c:strCache>
            </c:strRef>
          </c:cat>
          <c:val>
            <c:numRef>
              <c:f>'Pivot Table'!$B$27:$B$28</c:f>
              <c:numCache>
                <c:formatCode>0.00%</c:formatCode>
                <c:ptCount val="2"/>
                <c:pt idx="0">
                  <c:v>0.7</c:v>
                </c:pt>
                <c:pt idx="1">
                  <c:v>0.3</c:v>
                </c:pt>
              </c:numCache>
            </c:numRef>
          </c:val>
        </c:ser>
        <c:dLbls>
          <c:showLegendKey val="0"/>
          <c:showVal val="0"/>
          <c:showCatName val="0"/>
          <c:showSerName val="0"/>
          <c:showPercent val="0"/>
          <c:showBubbleSize val="0"/>
          <c:showLeaderLines val="1"/>
        </c:dLbls>
        <c:firstSliceAng val="0"/>
        <c:holeSize val="72"/>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 Dashboard.xlsx]Pivot Table!PivotTable13</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Performance</a:t>
            </a:r>
            <a:r>
              <a:rPr lang="en-US" b="1" baseline="0"/>
              <a:t> Score Vs Average Monthly Atendance</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7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00B050"/>
          </a:solidFill>
          <a:ln>
            <a:noFill/>
          </a:ln>
          <a:effectLst/>
        </c:spPr>
        <c:dLbl>
          <c:idx val="0"/>
          <c:layout>
            <c:manualLayout>
              <c:x val="0"/>
              <c:y val="0.3148148148148147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00B050"/>
          </a:solidFill>
          <a:ln>
            <a:noFill/>
          </a:ln>
          <a:effectLst/>
        </c:spPr>
        <c:dLbl>
          <c:idx val="0"/>
          <c:layout>
            <c:manualLayout>
              <c:x val="0"/>
              <c:y val="0.3148148148148148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00B050"/>
          </a:solidFill>
          <a:ln>
            <a:noFill/>
          </a:ln>
          <a:effectLst/>
        </c:spPr>
        <c:dLbl>
          <c:idx val="0"/>
          <c:layout>
            <c:manualLayout>
              <c:x val="-2.4829298572315332E-3"/>
              <c:y val="0.1481481481481480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00B050"/>
          </a:solidFill>
          <a:ln>
            <a:noFill/>
          </a:ln>
          <a:effectLst/>
        </c:spPr>
        <c:dLbl>
          <c:idx val="0"/>
          <c:layout>
            <c:manualLayout>
              <c:x val="2.4829298572315332E-3"/>
              <c:y val="0.1790123456790123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00B050"/>
          </a:solidFill>
          <a:ln>
            <a:noFill/>
          </a:ln>
          <a:effectLst/>
        </c:spPr>
        <c:dLbl>
          <c:idx val="0"/>
          <c:layout>
            <c:manualLayout>
              <c:x val="0"/>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00B050"/>
          </a:solidFill>
          <a:ln>
            <a:noFill/>
          </a:ln>
          <a:effectLst/>
        </c:spPr>
        <c:dLbl>
          <c:idx val="0"/>
          <c:layout>
            <c:manualLayout>
              <c:x val="0"/>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9513678108672169E-2"/>
          <c:y val="0.2227777777777778"/>
          <c:w val="0.6615549592613772"/>
          <c:h val="0.47625546806649177"/>
        </c:manualLayout>
      </c:layout>
      <c:barChart>
        <c:barDir val="col"/>
        <c:grouping val="clustered"/>
        <c:varyColors val="0"/>
        <c:ser>
          <c:idx val="0"/>
          <c:order val="0"/>
          <c:tx>
            <c:strRef>
              <c:f>'Pivot Table'!$S$16</c:f>
              <c:strCache>
                <c:ptCount val="1"/>
                <c:pt idx="0">
                  <c:v>Sum of Performance Score</c:v>
                </c:pt>
              </c:strCache>
            </c:strRef>
          </c:tx>
          <c:spPr>
            <a:solidFill>
              <a:srgbClr val="00B050"/>
            </a:solidFill>
            <a:ln>
              <a:noFill/>
            </a:ln>
            <a:effectLst/>
          </c:spPr>
          <c:invertIfNegative val="0"/>
          <c:dPt>
            <c:idx val="0"/>
            <c:invertIfNegative val="0"/>
            <c:bubble3D val="0"/>
            <c:spPr>
              <a:solidFill>
                <a:srgbClr val="00B050"/>
              </a:solidFill>
              <a:ln>
                <a:noFill/>
              </a:ln>
              <a:effectLst/>
            </c:spPr>
          </c:dPt>
          <c:dPt>
            <c:idx val="1"/>
            <c:invertIfNegative val="0"/>
            <c:bubble3D val="0"/>
            <c:spPr>
              <a:solidFill>
                <a:srgbClr val="00B050"/>
              </a:solidFill>
              <a:ln>
                <a:noFill/>
              </a:ln>
              <a:effectLst/>
            </c:spPr>
          </c:dPt>
          <c:dPt>
            <c:idx val="2"/>
            <c:invertIfNegative val="0"/>
            <c:bubble3D val="0"/>
            <c:spPr>
              <a:solidFill>
                <a:srgbClr val="00B050"/>
              </a:solidFill>
              <a:ln>
                <a:noFill/>
              </a:ln>
              <a:effectLst/>
            </c:spPr>
          </c:dPt>
          <c:dPt>
            <c:idx val="3"/>
            <c:invertIfNegative val="0"/>
            <c:bubble3D val="0"/>
            <c:spPr>
              <a:solidFill>
                <a:srgbClr val="00B050"/>
              </a:solidFill>
              <a:ln>
                <a:noFill/>
              </a:ln>
              <a:effectLst/>
            </c:spPr>
          </c:dPt>
          <c:dPt>
            <c:idx val="4"/>
            <c:invertIfNegative val="0"/>
            <c:bubble3D val="0"/>
            <c:spPr>
              <a:solidFill>
                <a:srgbClr val="00B050"/>
              </a:solidFill>
              <a:ln>
                <a:noFill/>
              </a:ln>
              <a:effectLst/>
            </c:spPr>
          </c:dPt>
          <c:dPt>
            <c:idx val="5"/>
            <c:invertIfNegative val="0"/>
            <c:bubble3D val="0"/>
            <c:spPr>
              <a:solidFill>
                <a:srgbClr val="00B050"/>
              </a:solidFill>
              <a:ln>
                <a:noFill/>
              </a:ln>
              <a:effectLst/>
            </c:spPr>
          </c:dPt>
          <c:dLbls>
            <c:dLbl>
              <c:idx val="0"/>
              <c:layout>
                <c:manualLayout>
                  <c:x val="0"/>
                  <c:y val="0.31481481481481471"/>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0.3148148148148148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4829298572315332E-3"/>
                  <c:y val="0.1481481481481480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4829298572315332E-3"/>
                  <c:y val="0.17901234567901234"/>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
                  <c:y val="9.2592592592592587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
                  <c:y val="0.24074074074074073"/>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Table'!$R$17:$R$22</c:f>
              <c:strCache>
                <c:ptCount val="6"/>
                <c:pt idx="0">
                  <c:v>Finance</c:v>
                </c:pt>
                <c:pt idx="1">
                  <c:v>HR</c:v>
                </c:pt>
                <c:pt idx="2">
                  <c:v>IT</c:v>
                </c:pt>
                <c:pt idx="3">
                  <c:v>Marketing</c:v>
                </c:pt>
                <c:pt idx="4">
                  <c:v>Operations</c:v>
                </c:pt>
                <c:pt idx="5">
                  <c:v>Sales</c:v>
                </c:pt>
              </c:strCache>
            </c:strRef>
          </c:cat>
          <c:val>
            <c:numRef>
              <c:f>'Pivot Table'!$S$17:$S$22</c:f>
              <c:numCache>
                <c:formatCode>0</c:formatCode>
                <c:ptCount val="6"/>
                <c:pt idx="0">
                  <c:v>39.56</c:v>
                </c:pt>
                <c:pt idx="1">
                  <c:v>41.17</c:v>
                </c:pt>
                <c:pt idx="2">
                  <c:v>26.180000000000003</c:v>
                </c:pt>
                <c:pt idx="3">
                  <c:v>22.88</c:v>
                </c:pt>
                <c:pt idx="4">
                  <c:v>15.219999999999999</c:v>
                </c:pt>
                <c:pt idx="5">
                  <c:v>52.79</c:v>
                </c:pt>
              </c:numCache>
            </c:numRef>
          </c:val>
        </c:ser>
        <c:dLbls>
          <c:showLegendKey val="0"/>
          <c:showVal val="1"/>
          <c:showCatName val="0"/>
          <c:showSerName val="0"/>
          <c:showPercent val="0"/>
          <c:showBubbleSize val="0"/>
        </c:dLbls>
        <c:gapWidth val="219"/>
        <c:overlap val="-27"/>
        <c:axId val="271337392"/>
        <c:axId val="271337776"/>
      </c:barChart>
      <c:lineChart>
        <c:grouping val="standard"/>
        <c:varyColors val="0"/>
        <c:ser>
          <c:idx val="1"/>
          <c:order val="1"/>
          <c:tx>
            <c:strRef>
              <c:f>'Pivot Table'!$T$16</c:f>
              <c:strCache>
                <c:ptCount val="1"/>
                <c:pt idx="0">
                  <c:v>Average of Monthly Attendance (%)</c:v>
                </c:pt>
              </c:strCache>
            </c:strRef>
          </c:tx>
          <c:spPr>
            <a:ln w="28575" cap="rnd">
              <a:solidFill>
                <a:schemeClr val="bg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Table'!$R$17:$R$22</c:f>
              <c:strCache>
                <c:ptCount val="6"/>
                <c:pt idx="0">
                  <c:v>Finance</c:v>
                </c:pt>
                <c:pt idx="1">
                  <c:v>HR</c:v>
                </c:pt>
                <c:pt idx="2">
                  <c:v>IT</c:v>
                </c:pt>
                <c:pt idx="3">
                  <c:v>Marketing</c:v>
                </c:pt>
                <c:pt idx="4">
                  <c:v>Operations</c:v>
                </c:pt>
                <c:pt idx="5">
                  <c:v>Sales</c:v>
                </c:pt>
              </c:strCache>
            </c:strRef>
          </c:cat>
          <c:val>
            <c:numRef>
              <c:f>'Pivot Table'!$T$17:$T$22</c:f>
              <c:numCache>
                <c:formatCode>0</c:formatCode>
                <c:ptCount val="6"/>
                <c:pt idx="0">
                  <c:v>84.369</c:v>
                </c:pt>
                <c:pt idx="1">
                  <c:v>86.234999999999985</c:v>
                </c:pt>
                <c:pt idx="2">
                  <c:v>86.681428571428569</c:v>
                </c:pt>
                <c:pt idx="3">
                  <c:v>88.241666666666674</c:v>
                </c:pt>
                <c:pt idx="4">
                  <c:v>84.265000000000001</c:v>
                </c:pt>
                <c:pt idx="5">
                  <c:v>88.314615384615394</c:v>
                </c:pt>
              </c:numCache>
            </c:numRef>
          </c:val>
          <c:smooth val="0"/>
        </c:ser>
        <c:dLbls>
          <c:showLegendKey val="0"/>
          <c:showVal val="1"/>
          <c:showCatName val="0"/>
          <c:showSerName val="0"/>
          <c:showPercent val="0"/>
          <c:showBubbleSize val="0"/>
        </c:dLbls>
        <c:marker val="1"/>
        <c:smooth val="0"/>
        <c:axId val="270705480"/>
        <c:axId val="271338160"/>
      </c:lineChart>
      <c:catAx>
        <c:axId val="2713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337776"/>
        <c:crosses val="autoZero"/>
        <c:auto val="1"/>
        <c:lblAlgn val="ctr"/>
        <c:lblOffset val="100"/>
        <c:noMultiLvlLbl val="0"/>
      </c:catAx>
      <c:valAx>
        <c:axId val="2713377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337392"/>
        <c:crosses val="autoZero"/>
        <c:crossBetween val="between"/>
      </c:valAx>
      <c:valAx>
        <c:axId val="2713381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05480"/>
        <c:crosses val="max"/>
        <c:crossBetween val="between"/>
      </c:valAx>
      <c:catAx>
        <c:axId val="270705480"/>
        <c:scaling>
          <c:orientation val="minMax"/>
        </c:scaling>
        <c:delete val="1"/>
        <c:axPos val="b"/>
        <c:numFmt formatCode="General" sourceLinked="1"/>
        <c:majorTickMark val="out"/>
        <c:minorTickMark val="none"/>
        <c:tickLblPos val="nextTo"/>
        <c:crossAx val="271338160"/>
        <c:crosses val="autoZero"/>
        <c:auto val="1"/>
        <c:lblAlgn val="ctr"/>
        <c:lblOffset val="100"/>
        <c:noMultiLvlLbl val="0"/>
      </c:catAx>
      <c:spPr>
        <a:noFill/>
        <a:ln>
          <a:noFill/>
        </a:ln>
        <a:effectLst/>
      </c:spPr>
    </c:plotArea>
    <c:legend>
      <c:legendPos val="r"/>
      <c:layout>
        <c:manualLayout>
          <c:xMode val="edge"/>
          <c:yMode val="edge"/>
          <c:x val="0.75823594676363781"/>
          <c:y val="0.20552299018178283"/>
          <c:w val="0.226866474092973"/>
          <c:h val="0.546299212598425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 Dashboard.xlsx]Pivot Table!PivotTable7</c:name>
    <c:fmtId val="1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Salary By Department</a:t>
            </a:r>
            <a:endParaRPr lang="en-US" sz="1600" b="1"/>
          </a:p>
        </c:rich>
      </c:tx>
      <c:layout>
        <c:manualLayout>
          <c:xMode val="edge"/>
          <c:yMode val="edge"/>
          <c:x val="0.18572900262467193"/>
          <c:y val="3.10254501769368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chemeClr val="bg2">
              <a:lumMod val="75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pivotFmt>
      <c:pivotFmt>
        <c:idx val="9"/>
        <c:spPr>
          <a:solidFill>
            <a:schemeClr val="bg2">
              <a:lumMod val="75000"/>
            </a:schemeClr>
          </a:solidFill>
          <a:ln>
            <a:noFill/>
          </a:ln>
          <a:effectLst/>
        </c:spPr>
      </c:pivotFmt>
      <c:pivotFmt>
        <c:idx val="10"/>
        <c:spPr>
          <a:solidFill>
            <a:srgbClr val="00B050"/>
          </a:solidFill>
          <a:ln>
            <a:noFill/>
          </a:ln>
          <a:effectLst/>
        </c:spPr>
      </c:pivotFmt>
      <c:pivotFmt>
        <c:idx val="11"/>
        <c:spPr>
          <a:solidFill>
            <a:srgbClr val="00B050"/>
          </a:solidFill>
          <a:ln>
            <a:noFill/>
          </a:ln>
          <a:effectLst/>
        </c:spPr>
      </c:pivotFmt>
      <c:pivotFmt>
        <c:idx val="12"/>
        <c:spPr>
          <a:solidFill>
            <a:schemeClr val="bg2">
              <a:lumMod val="75000"/>
            </a:schemeClr>
          </a:solidFill>
          <a:ln>
            <a:noFill/>
          </a:ln>
          <a:effectLst/>
        </c:spPr>
      </c:pivotFmt>
      <c:pivotFmt>
        <c:idx val="13"/>
        <c:spPr>
          <a:solidFill>
            <a:schemeClr val="bg2">
              <a:lumMod val="75000"/>
            </a:schemeClr>
          </a:solidFill>
          <a:ln>
            <a:noFill/>
          </a:ln>
          <a:effectLst/>
        </c:spPr>
      </c:pivotFmt>
      <c:pivotFmt>
        <c:idx val="1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rgbClr val="00B050"/>
          </a:solidFill>
          <a:ln>
            <a:noFill/>
          </a:ln>
          <a:effectLst/>
        </c:spPr>
      </c:pivotFmt>
      <c:pivotFmt>
        <c:idx val="16"/>
        <c:spPr>
          <a:solidFill>
            <a:schemeClr val="bg2">
              <a:lumMod val="75000"/>
            </a:schemeClr>
          </a:solidFill>
          <a:ln>
            <a:noFill/>
          </a:ln>
          <a:effectLst/>
        </c:spPr>
      </c:pivotFmt>
      <c:pivotFmt>
        <c:idx val="17"/>
        <c:spPr>
          <a:solidFill>
            <a:srgbClr val="00B050"/>
          </a:solidFill>
          <a:ln>
            <a:noFill/>
          </a:ln>
          <a:effectLst/>
        </c:spPr>
      </c:pivotFmt>
      <c:pivotFmt>
        <c:idx val="18"/>
        <c:spPr>
          <a:solidFill>
            <a:srgbClr val="00B050"/>
          </a:solidFill>
          <a:ln>
            <a:noFill/>
          </a:ln>
          <a:effectLst/>
        </c:spPr>
        <c:dLbl>
          <c:idx val="0"/>
          <c:layout>
            <c:manualLayout>
              <c:x val="0"/>
              <c:y val="-6.63349917081260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bg2">
              <a:lumMod val="75000"/>
            </a:schemeClr>
          </a:solidFill>
          <a:ln>
            <a:noFill/>
          </a:ln>
          <a:effectLst/>
        </c:spPr>
      </c:pivotFmt>
      <c:pivotFmt>
        <c:idx val="20"/>
        <c:spPr>
          <a:solidFill>
            <a:schemeClr val="bg2">
              <a:lumMod val="75000"/>
            </a:schemeClr>
          </a:solidFill>
          <a:ln>
            <a:noFill/>
          </a:ln>
          <a:effectLst/>
        </c:spPr>
      </c:pivotFmt>
    </c:pivotFmts>
    <c:plotArea>
      <c:layout>
        <c:manualLayout>
          <c:layoutTarget val="inner"/>
          <c:xMode val="edge"/>
          <c:yMode val="edge"/>
          <c:x val="0.14040069991251095"/>
          <c:y val="0.182620232172471"/>
          <c:w val="0.83733578757200799"/>
          <c:h val="0.77757877280265342"/>
        </c:manualLayout>
      </c:layout>
      <c:barChart>
        <c:barDir val="bar"/>
        <c:grouping val="clustered"/>
        <c:varyColors val="0"/>
        <c:ser>
          <c:idx val="0"/>
          <c:order val="0"/>
          <c:tx>
            <c:strRef>
              <c:f>'Pivot Table'!$F$1</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dPt>
          <c:dPt>
            <c:idx val="1"/>
            <c:invertIfNegative val="0"/>
            <c:bubble3D val="0"/>
            <c:spPr>
              <a:solidFill>
                <a:schemeClr val="bg2">
                  <a:lumMod val="75000"/>
                </a:schemeClr>
              </a:solidFill>
              <a:ln>
                <a:noFill/>
              </a:ln>
              <a:effectLst/>
            </c:spPr>
          </c:dPt>
          <c:dPt>
            <c:idx val="2"/>
            <c:invertIfNegative val="0"/>
            <c:bubble3D val="0"/>
            <c:spPr>
              <a:solidFill>
                <a:srgbClr val="00B050"/>
              </a:solidFill>
              <a:ln>
                <a:noFill/>
              </a:ln>
              <a:effectLst/>
            </c:spPr>
          </c:dPt>
          <c:dPt>
            <c:idx val="3"/>
            <c:invertIfNegative val="0"/>
            <c:bubble3D val="0"/>
            <c:spPr>
              <a:solidFill>
                <a:srgbClr val="00B050"/>
              </a:solidFill>
              <a:ln>
                <a:noFill/>
              </a:ln>
              <a:effectLst/>
            </c:spPr>
          </c:dPt>
          <c:dPt>
            <c:idx val="4"/>
            <c:invertIfNegative val="0"/>
            <c:bubble3D val="0"/>
            <c:spPr>
              <a:solidFill>
                <a:schemeClr val="bg2">
                  <a:lumMod val="75000"/>
                </a:schemeClr>
              </a:solidFill>
              <a:ln>
                <a:noFill/>
              </a:ln>
              <a:effectLst/>
            </c:spPr>
          </c:dPt>
          <c:dPt>
            <c:idx val="5"/>
            <c:invertIfNegative val="0"/>
            <c:bubble3D val="0"/>
            <c:spPr>
              <a:solidFill>
                <a:schemeClr val="bg2">
                  <a:lumMod val="75000"/>
                </a:schemeClr>
              </a:solidFill>
              <a:ln>
                <a:noFill/>
              </a:ln>
              <a:effectLst/>
            </c:spPr>
          </c:dPt>
          <c:dLbls>
            <c:dLbl>
              <c:idx val="3"/>
              <c:layout>
                <c:manualLayout>
                  <c:x val="0"/>
                  <c:y val="-6.6334991708126038E-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Table'!$E$2:$E$7</c:f>
              <c:strCache>
                <c:ptCount val="6"/>
                <c:pt idx="0">
                  <c:v>Finance</c:v>
                </c:pt>
                <c:pt idx="1">
                  <c:v>HR</c:v>
                </c:pt>
                <c:pt idx="2">
                  <c:v>IT</c:v>
                </c:pt>
                <c:pt idx="3">
                  <c:v>Marketing</c:v>
                </c:pt>
                <c:pt idx="4">
                  <c:v>Operations</c:v>
                </c:pt>
                <c:pt idx="5">
                  <c:v>Sales</c:v>
                </c:pt>
              </c:strCache>
            </c:strRef>
          </c:cat>
          <c:val>
            <c:numRef>
              <c:f>'Pivot Table'!$F$2:$F$7</c:f>
              <c:numCache>
                <c:formatCode>0</c:formatCode>
                <c:ptCount val="6"/>
                <c:pt idx="0">
                  <c:v>81581.100000000006</c:v>
                </c:pt>
                <c:pt idx="1">
                  <c:v>72780.7</c:v>
                </c:pt>
                <c:pt idx="2">
                  <c:v>93806.142857142855</c:v>
                </c:pt>
                <c:pt idx="3">
                  <c:v>92370.666666666672</c:v>
                </c:pt>
                <c:pt idx="4">
                  <c:v>77210.25</c:v>
                </c:pt>
                <c:pt idx="5">
                  <c:v>77209.923076923078</c:v>
                </c:pt>
              </c:numCache>
            </c:numRef>
          </c:val>
        </c:ser>
        <c:dLbls>
          <c:dLblPos val="outEnd"/>
          <c:showLegendKey val="0"/>
          <c:showVal val="1"/>
          <c:showCatName val="0"/>
          <c:showSerName val="0"/>
          <c:showPercent val="0"/>
          <c:showBubbleSize val="0"/>
        </c:dLbls>
        <c:gapWidth val="182"/>
        <c:axId val="222456600"/>
        <c:axId val="271632824"/>
      </c:barChart>
      <c:catAx>
        <c:axId val="222456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632824"/>
        <c:crosses val="autoZero"/>
        <c:auto val="1"/>
        <c:lblAlgn val="ctr"/>
        <c:lblOffset val="100"/>
        <c:noMultiLvlLbl val="0"/>
      </c:catAx>
      <c:valAx>
        <c:axId val="271632824"/>
        <c:scaling>
          <c:orientation val="minMax"/>
        </c:scaling>
        <c:delete val="1"/>
        <c:axPos val="b"/>
        <c:numFmt formatCode="0" sourceLinked="1"/>
        <c:majorTickMark val="none"/>
        <c:minorTickMark val="none"/>
        <c:tickLblPos val="nextTo"/>
        <c:crossAx val="222456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 Dashboard.xlsx]Pivot Table!PivotTable9</c:name>
    <c:fmtId val="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a:t>Performance Category Distribution</a:t>
            </a:r>
          </a:p>
        </c:rich>
      </c:tx>
      <c:layout>
        <c:manualLayout>
          <c:xMode val="edge"/>
          <c:yMode val="edge"/>
          <c:x val="0.12332344820533797"/>
          <c:y val="3.4084780498328118E-4"/>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layout>
            <c:manualLayout>
              <c:x val="-1.9875773805347375E-2"/>
              <c:y val="-6.6006600660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layout>
            <c:manualLayout>
              <c:x val="-1.9875773805347375E-2"/>
              <c:y val="-6.6006600660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round/>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rgbClr val="00B050"/>
            </a:solidFill>
            <a:round/>
          </a:ln>
          <a:effectLst/>
        </c:spPr>
        <c:marker>
          <c:symbol val="none"/>
        </c:marker>
        <c:dLbl>
          <c:idx val="0"/>
          <c:layout>
            <c:manualLayout>
              <c:x val="-1.9875773805347375E-2"/>
              <c:y val="-6.6006600660066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5169649248389409"/>
          <c:y val="0.34593847002001454"/>
          <c:w val="0.40136926066059925"/>
          <c:h val="0.56448279581490668"/>
        </c:manualLayout>
      </c:layout>
      <c:radarChart>
        <c:radarStyle val="marker"/>
        <c:varyColors val="0"/>
        <c:ser>
          <c:idx val="0"/>
          <c:order val="0"/>
          <c:tx>
            <c:strRef>
              <c:f>'Pivot Table'!$L$1</c:f>
              <c:strCache>
                <c:ptCount val="1"/>
                <c:pt idx="0">
                  <c:v>Total</c:v>
                </c:pt>
              </c:strCache>
            </c:strRef>
          </c:tx>
          <c:spPr>
            <a:ln w="28575" cap="rnd">
              <a:solidFill>
                <a:srgbClr val="00B050"/>
              </a:solidFill>
              <a:round/>
            </a:ln>
            <a:effectLst/>
          </c:spPr>
          <c:marker>
            <c:symbol val="none"/>
          </c:marker>
          <c:dPt>
            <c:idx val="2"/>
            <c:marker>
              <c:symbol val="none"/>
            </c:marker>
            <c:bubble3D val="0"/>
          </c:dPt>
          <c:dLbls>
            <c:dLbl>
              <c:idx val="2"/>
              <c:layout>
                <c:manualLayout>
                  <c:x val="-1.9875773805347375E-2"/>
                  <c:y val="-6.6006600660066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Table'!$K$2:$K$4</c:f>
              <c:strCache>
                <c:ptCount val="3"/>
                <c:pt idx="0">
                  <c:v>Average</c:v>
                </c:pt>
                <c:pt idx="1">
                  <c:v>Below Average</c:v>
                </c:pt>
                <c:pt idx="2">
                  <c:v>Excellent</c:v>
                </c:pt>
              </c:strCache>
            </c:strRef>
          </c:cat>
          <c:val>
            <c:numRef>
              <c:f>'Pivot Table'!$L$2:$L$4</c:f>
              <c:numCache>
                <c:formatCode>0</c:formatCode>
                <c:ptCount val="3"/>
                <c:pt idx="0">
                  <c:v>22</c:v>
                </c:pt>
                <c:pt idx="1">
                  <c:v>5</c:v>
                </c:pt>
                <c:pt idx="2">
                  <c:v>23</c:v>
                </c:pt>
              </c:numCache>
            </c:numRef>
          </c:val>
        </c:ser>
        <c:dLbls>
          <c:showLegendKey val="0"/>
          <c:showVal val="1"/>
          <c:showCatName val="0"/>
          <c:showSerName val="0"/>
          <c:showPercent val="0"/>
          <c:showBubbleSize val="0"/>
        </c:dLbls>
        <c:axId val="269845200"/>
        <c:axId val="269840888"/>
      </c:radarChart>
      <c:catAx>
        <c:axId val="26984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9840888"/>
        <c:crosses val="autoZero"/>
        <c:auto val="1"/>
        <c:lblAlgn val="ctr"/>
        <c:lblOffset val="100"/>
        <c:noMultiLvlLbl val="0"/>
      </c:catAx>
      <c:valAx>
        <c:axId val="26984088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698452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 Dashboard.xlsx]Pivot Table!PivotTable8</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Salary By Gender</a:t>
            </a:r>
            <a:endParaRPr lang="en-US" sz="1600" b="1"/>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dLbl>
          <c:idx val="0"/>
          <c:layout>
            <c:manualLayout>
              <c:x val="6.6417591980520302E-2"/>
              <c:y val="-8.414239482200652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w="19050">
            <a:solidFill>
              <a:schemeClr val="lt1"/>
            </a:solidFill>
          </a:ln>
          <a:effectLst/>
        </c:spPr>
        <c:dLbl>
          <c:idx val="0"/>
          <c:layout>
            <c:manualLayout>
              <c:x val="-6.6417591980520302E-2"/>
              <c:y val="-1.941747572815533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w="19050">
            <a:solidFill>
              <a:schemeClr val="lt1"/>
            </a:solidFill>
          </a:ln>
          <a:effectLst/>
        </c:spPr>
        <c:dLbl>
          <c:idx val="0"/>
          <c:layout>
            <c:manualLayout>
              <c:x val="6.6417591980520302E-2"/>
              <c:y val="-8.414239482200652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w="19050">
            <a:solidFill>
              <a:schemeClr val="lt1"/>
            </a:solidFill>
          </a:ln>
          <a:effectLst/>
        </c:spPr>
        <c:dLbl>
          <c:idx val="0"/>
          <c:layout>
            <c:manualLayout>
              <c:x val="-6.6417591980520302E-2"/>
              <c:y val="-1.941747572815533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dLbl>
          <c:idx val="0"/>
          <c:layout>
            <c:manualLayout>
              <c:x val="6.6417591980520302E-2"/>
              <c:y val="-8.414239482200652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bg2">
              <a:lumMod val="75000"/>
            </a:schemeClr>
          </a:solidFill>
          <a:ln w="19050">
            <a:solidFill>
              <a:schemeClr val="lt1"/>
            </a:solidFill>
          </a:ln>
          <a:effectLst/>
        </c:spPr>
        <c:dLbl>
          <c:idx val="0"/>
          <c:layout>
            <c:manualLayout>
              <c:x val="-6.6417591980520302E-2"/>
              <c:y val="-1.941747572815533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83680937732246"/>
          <c:y val="0.42468585694132444"/>
          <c:w val="0.31799885229400088"/>
          <c:h val="0.44583782209621448"/>
        </c:manualLayout>
      </c:layout>
      <c:doughnutChart>
        <c:varyColors val="1"/>
        <c:ser>
          <c:idx val="0"/>
          <c:order val="0"/>
          <c:tx>
            <c:strRef>
              <c:f>'Pivot Table'!$H$1</c:f>
              <c:strCache>
                <c:ptCount val="1"/>
                <c:pt idx="0">
                  <c:v>Total</c:v>
                </c:pt>
              </c:strCache>
            </c:strRef>
          </c:tx>
          <c:dPt>
            <c:idx val="0"/>
            <c:bubble3D val="0"/>
            <c:spPr>
              <a:solidFill>
                <a:srgbClr val="92D050"/>
              </a:solidFill>
              <a:ln w="19050">
                <a:solidFill>
                  <a:schemeClr val="lt1"/>
                </a:solidFill>
              </a:ln>
              <a:effectLst/>
            </c:spPr>
          </c:dPt>
          <c:dPt>
            <c:idx val="1"/>
            <c:bubble3D val="0"/>
            <c:spPr>
              <a:solidFill>
                <a:schemeClr val="bg2">
                  <a:lumMod val="75000"/>
                </a:schemeClr>
              </a:solidFill>
              <a:ln w="19050">
                <a:solidFill>
                  <a:schemeClr val="lt1"/>
                </a:solidFill>
              </a:ln>
              <a:effectLst/>
            </c:spPr>
          </c:dPt>
          <c:dLbls>
            <c:dLbl>
              <c:idx val="0"/>
              <c:layout>
                <c:manualLayout>
                  <c:x val="6.6417591980520302E-2"/>
                  <c:y val="-8.4142394822006528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6.6417591980520302E-2"/>
                  <c:y val="-1.9417475728155338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Table'!$G$2:$G$3</c:f>
              <c:strCache>
                <c:ptCount val="2"/>
                <c:pt idx="0">
                  <c:v>Female</c:v>
                </c:pt>
                <c:pt idx="1">
                  <c:v>Male</c:v>
                </c:pt>
              </c:strCache>
            </c:strRef>
          </c:cat>
          <c:val>
            <c:numRef>
              <c:f>'Pivot Table'!$H$2:$H$3</c:f>
              <c:numCache>
                <c:formatCode>0</c:formatCode>
                <c:ptCount val="2"/>
                <c:pt idx="0">
                  <c:v>82543.944444444438</c:v>
                </c:pt>
                <c:pt idx="1">
                  <c:v>78248.071428571435</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667090000846663"/>
          <c:y val="0.54793893242534575"/>
          <c:w val="0.20332909999153331"/>
          <c:h val="0.226132355284219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 Dashboard.xlsx]Pivot Table!PivotTable10</c:name>
    <c:fmtId val="1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Trend</a:t>
            </a:r>
            <a:r>
              <a:rPr lang="en-US" sz="1600" b="1" baseline="0"/>
              <a:t> Of Projects Completed</a:t>
            </a:r>
            <a:endParaRPr lang="en-US" sz="1600" b="1"/>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00B050"/>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Table'!$O$1</c:f>
              <c:strCache>
                <c:ptCount val="1"/>
                <c:pt idx="0">
                  <c:v>Total</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Table'!$N$2:$N$10</c:f>
              <c:strCache>
                <c:ptCount val="9"/>
                <c:pt idx="0">
                  <c:v>2015</c:v>
                </c:pt>
                <c:pt idx="1">
                  <c:v>2016</c:v>
                </c:pt>
                <c:pt idx="2">
                  <c:v>2017</c:v>
                </c:pt>
                <c:pt idx="3">
                  <c:v>2018</c:v>
                </c:pt>
                <c:pt idx="4">
                  <c:v>2019</c:v>
                </c:pt>
                <c:pt idx="5">
                  <c:v>2020</c:v>
                </c:pt>
                <c:pt idx="6">
                  <c:v>2021</c:v>
                </c:pt>
                <c:pt idx="7">
                  <c:v>2022</c:v>
                </c:pt>
                <c:pt idx="8">
                  <c:v>2023</c:v>
                </c:pt>
              </c:strCache>
            </c:strRef>
          </c:cat>
          <c:val>
            <c:numRef>
              <c:f>'Pivot Table'!$O$2:$O$10</c:f>
              <c:numCache>
                <c:formatCode>0</c:formatCode>
                <c:ptCount val="9"/>
                <c:pt idx="0">
                  <c:v>57</c:v>
                </c:pt>
                <c:pt idx="1">
                  <c:v>35</c:v>
                </c:pt>
                <c:pt idx="2">
                  <c:v>43</c:v>
                </c:pt>
                <c:pt idx="3">
                  <c:v>25</c:v>
                </c:pt>
                <c:pt idx="4">
                  <c:v>43</c:v>
                </c:pt>
                <c:pt idx="5">
                  <c:v>51</c:v>
                </c:pt>
                <c:pt idx="6">
                  <c:v>41</c:v>
                </c:pt>
                <c:pt idx="7">
                  <c:v>33</c:v>
                </c:pt>
                <c:pt idx="8">
                  <c:v>36</c:v>
                </c:pt>
              </c:numCache>
            </c:numRef>
          </c:val>
          <c:smooth val="0"/>
        </c:ser>
        <c:dLbls>
          <c:dLblPos val="t"/>
          <c:showLegendKey val="0"/>
          <c:showVal val="1"/>
          <c:showCatName val="0"/>
          <c:showSerName val="0"/>
          <c:showPercent val="0"/>
          <c:showBubbleSize val="0"/>
        </c:dLbls>
        <c:smooth val="0"/>
        <c:axId val="269845592"/>
        <c:axId val="269841672"/>
      </c:lineChart>
      <c:catAx>
        <c:axId val="26984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41672"/>
        <c:crosses val="autoZero"/>
        <c:auto val="1"/>
        <c:lblAlgn val="ctr"/>
        <c:lblOffset val="100"/>
        <c:noMultiLvlLbl val="0"/>
      </c:catAx>
      <c:valAx>
        <c:axId val="269841672"/>
        <c:scaling>
          <c:orientation val="minMax"/>
        </c:scaling>
        <c:delete val="1"/>
        <c:axPos val="l"/>
        <c:numFmt formatCode="0" sourceLinked="1"/>
        <c:majorTickMark val="none"/>
        <c:minorTickMark val="none"/>
        <c:tickLblPos val="nextTo"/>
        <c:crossAx val="2698455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352425</xdr:colOff>
      <xdr:row>13</xdr:row>
      <xdr:rowOff>142875</xdr:rowOff>
    </xdr:from>
    <xdr:to>
      <xdr:col>6</xdr:col>
      <xdr:colOff>209550</xdr:colOff>
      <xdr:row>18</xdr:row>
      <xdr:rowOff>57150</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33925" y="2619375"/>
              <a:ext cx="1828800"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485775</xdr:colOff>
      <xdr:row>33</xdr:row>
      <xdr:rowOff>180975</xdr:rowOff>
    </xdr:to>
    <xdr:sp macro="" textlink="'Pivot Table'!C23">
      <xdr:nvSpPr>
        <xdr:cNvPr id="13" name="Rectangle 12"/>
        <xdr:cNvSpPr/>
      </xdr:nvSpPr>
      <xdr:spPr>
        <a:xfrm>
          <a:off x="0" y="0"/>
          <a:ext cx="12677775" cy="64674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F30F583-60E1-4AB5-9755-983D9723B4CC}" type="TxLink">
            <a:rPr lang="en-US" sz="1100" b="0" i="0" u="none" strike="noStrike">
              <a:solidFill>
                <a:srgbClr val="000000"/>
              </a:solidFill>
              <a:latin typeface="Calibri"/>
              <a:cs typeface="Calibri"/>
            </a:rPr>
            <a:pPr algn="l"/>
            <a:t>87</a:t>
          </a:fld>
          <a:endParaRPr lang="en-US" sz="1100"/>
        </a:p>
      </xdr:txBody>
    </xdr:sp>
    <xdr:clientData/>
  </xdr:twoCellAnchor>
  <xdr:twoCellAnchor>
    <xdr:from>
      <xdr:col>0</xdr:col>
      <xdr:colOff>85726</xdr:colOff>
      <xdr:row>0</xdr:row>
      <xdr:rowOff>38100</xdr:rowOff>
    </xdr:from>
    <xdr:to>
      <xdr:col>16</xdr:col>
      <xdr:colOff>352425</xdr:colOff>
      <xdr:row>2</xdr:row>
      <xdr:rowOff>28575</xdr:rowOff>
    </xdr:to>
    <xdr:sp macro="" textlink="">
      <xdr:nvSpPr>
        <xdr:cNvPr id="2" name="Rounded Rectangle 1"/>
        <xdr:cNvSpPr/>
      </xdr:nvSpPr>
      <xdr:spPr>
        <a:xfrm>
          <a:off x="85726" y="38100"/>
          <a:ext cx="10020299" cy="371475"/>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161925</xdr:colOff>
      <xdr:row>2</xdr:row>
      <xdr:rowOff>133351</xdr:rowOff>
    </xdr:from>
    <xdr:to>
      <xdr:col>14</xdr:col>
      <xdr:colOff>457200</xdr:colOff>
      <xdr:row>9</xdr:row>
      <xdr:rowOff>57151</xdr:rowOff>
    </xdr:to>
    <xdr:sp macro="" textlink="">
      <xdr:nvSpPr>
        <xdr:cNvPr id="17" name="Rounded Rectangle 16"/>
        <xdr:cNvSpPr/>
      </xdr:nvSpPr>
      <xdr:spPr>
        <a:xfrm>
          <a:off x="161925" y="514351"/>
          <a:ext cx="8829675" cy="1257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219074</xdr:colOff>
      <xdr:row>2</xdr:row>
      <xdr:rowOff>114300</xdr:rowOff>
    </xdr:from>
    <xdr:to>
      <xdr:col>3</xdr:col>
      <xdr:colOff>257173</xdr:colOff>
      <xdr:row>8</xdr:row>
      <xdr:rowOff>123825</xdr:rowOff>
    </xdr:to>
    <xdr:sp macro="" textlink="">
      <xdr:nvSpPr>
        <xdr:cNvPr id="5" name="Rounded Rectangle 4"/>
        <xdr:cNvSpPr/>
      </xdr:nvSpPr>
      <xdr:spPr>
        <a:xfrm>
          <a:off x="219074" y="495300"/>
          <a:ext cx="1866899" cy="1152525"/>
        </a:xfrm>
        <a:prstGeom prst="roundRect">
          <a:avLst/>
        </a:prstGeom>
        <a:solidFill>
          <a:schemeClr val="bg1"/>
        </a:solidFill>
        <a:ln>
          <a:noFill/>
        </a:ln>
        <a:effectLst>
          <a:glow rad="228600">
            <a:schemeClr val="accent3">
              <a:satMod val="175000"/>
              <a:alpha val="40000"/>
            </a:schemeClr>
          </a:glow>
          <a:outerShdw blurRad="107950" dist="12700" dir="5400000" algn="ctr">
            <a:srgbClr val="000000"/>
          </a:outerShdw>
        </a:effectLst>
        <a:scene3d>
          <a:camera prst="perspectiveAbove"/>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419099</xdr:colOff>
      <xdr:row>0</xdr:row>
      <xdr:rowOff>57151</xdr:rowOff>
    </xdr:from>
    <xdr:to>
      <xdr:col>20</xdr:col>
      <xdr:colOff>390526</xdr:colOff>
      <xdr:row>9</xdr:row>
      <xdr:rowOff>123825</xdr:rowOff>
    </xdr:to>
    <xdr:grpSp>
      <xdr:nvGrpSpPr>
        <xdr:cNvPr id="4" name="Group 3"/>
        <xdr:cNvGrpSpPr/>
      </xdr:nvGrpSpPr>
      <xdr:grpSpPr>
        <a:xfrm>
          <a:off x="419099" y="57151"/>
          <a:ext cx="12163427" cy="1781174"/>
          <a:chOff x="428624" y="104776"/>
          <a:chExt cx="12163427" cy="1856171"/>
        </a:xfrm>
      </xdr:grpSpPr>
      <xdr:sp macro="" textlink="">
        <xdr:nvSpPr>
          <xdr:cNvPr id="9" name="Rounded Rectangle 8"/>
          <xdr:cNvSpPr/>
        </xdr:nvSpPr>
        <xdr:spPr>
          <a:xfrm>
            <a:off x="2190749" y="571500"/>
            <a:ext cx="1866899" cy="1247775"/>
          </a:xfrm>
          <a:prstGeom prst="roundRect">
            <a:avLst/>
          </a:prstGeom>
          <a:solidFill>
            <a:schemeClr val="bg1"/>
          </a:solidFill>
          <a:ln>
            <a:noFill/>
          </a:ln>
          <a:effectLst>
            <a:glow rad="228600">
              <a:schemeClr val="accent3">
                <a:satMod val="175000"/>
                <a:alpha val="40000"/>
              </a:schemeClr>
            </a:glow>
            <a:outerShdw blurRad="107950" dist="12700" dir="5400000" algn="ctr">
              <a:srgbClr val="000000"/>
            </a:outerShdw>
          </a:effectLst>
          <a:scene3d>
            <a:camera prst="perspectiveAbove"/>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 name="Rounded Rectangle 9"/>
          <xdr:cNvSpPr/>
        </xdr:nvSpPr>
        <xdr:spPr>
          <a:xfrm>
            <a:off x="4200524" y="581025"/>
            <a:ext cx="1866899" cy="1247775"/>
          </a:xfrm>
          <a:prstGeom prst="roundRect">
            <a:avLst/>
          </a:prstGeom>
          <a:solidFill>
            <a:schemeClr val="bg1"/>
          </a:solidFill>
          <a:ln>
            <a:noFill/>
          </a:ln>
          <a:effectLst>
            <a:glow rad="228600">
              <a:schemeClr val="accent3">
                <a:satMod val="175000"/>
                <a:alpha val="40000"/>
              </a:schemeClr>
            </a:glow>
            <a:outerShdw blurRad="107950" dist="12700" dir="5400000" algn="ctr">
              <a:srgbClr val="000000"/>
            </a:outerShdw>
          </a:effectLst>
          <a:scene3d>
            <a:camera prst="perspectiveAbove"/>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 name="Rounded Rectangle 10"/>
          <xdr:cNvSpPr/>
        </xdr:nvSpPr>
        <xdr:spPr>
          <a:xfrm>
            <a:off x="6210300" y="590550"/>
            <a:ext cx="1866899" cy="1247775"/>
          </a:xfrm>
          <a:prstGeom prst="roundRect">
            <a:avLst/>
          </a:prstGeom>
          <a:solidFill>
            <a:schemeClr val="bg1"/>
          </a:solidFill>
          <a:ln>
            <a:noFill/>
          </a:ln>
          <a:effectLst>
            <a:glow rad="228600">
              <a:schemeClr val="accent3">
                <a:satMod val="175000"/>
                <a:alpha val="40000"/>
              </a:schemeClr>
            </a:glow>
            <a:outerShdw blurRad="107950" dist="12700" dir="5400000" algn="ctr">
              <a:srgbClr val="000000"/>
            </a:outerShdw>
          </a:effectLst>
          <a:scene3d>
            <a:camera prst="perspectiveAbove"/>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 name="Rounded Rectangle 11"/>
          <xdr:cNvSpPr/>
        </xdr:nvSpPr>
        <xdr:spPr>
          <a:xfrm>
            <a:off x="8220075" y="600075"/>
            <a:ext cx="1866899" cy="1247775"/>
          </a:xfrm>
          <a:prstGeom prst="roundRect">
            <a:avLst/>
          </a:prstGeom>
          <a:solidFill>
            <a:schemeClr val="bg1">
              <a:lumMod val="50000"/>
            </a:schemeClr>
          </a:solidFill>
          <a:ln>
            <a:noFill/>
          </a:ln>
          <a:effectLst>
            <a:glow rad="228600">
              <a:schemeClr val="accent3">
                <a:satMod val="175000"/>
                <a:alpha val="40000"/>
              </a:schemeClr>
            </a:glow>
            <a:outerShdw blurRad="107950" dist="12700" dir="5400000" algn="ctr">
              <a:srgbClr val="000000"/>
            </a:outerShdw>
          </a:effectLst>
          <a:scene3d>
            <a:camera prst="perspectiveAbove"/>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 name="TextBox 13"/>
          <xdr:cNvSpPr txBox="1"/>
        </xdr:nvSpPr>
        <xdr:spPr>
          <a:xfrm>
            <a:off x="428624" y="638175"/>
            <a:ext cx="15716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rPr>
              <a:t>Average</a:t>
            </a:r>
            <a:r>
              <a:rPr lang="en-US" sz="1600" b="1" baseline="0">
                <a:solidFill>
                  <a:sysClr val="windowText" lastClr="000000"/>
                </a:solidFill>
              </a:rPr>
              <a:t> </a:t>
            </a:r>
            <a:r>
              <a:rPr lang="en-US" sz="1600" b="1">
                <a:solidFill>
                  <a:sysClr val="windowText" lastClr="000000"/>
                </a:solidFill>
              </a:rPr>
              <a:t> Salary</a:t>
            </a:r>
          </a:p>
        </xdr:txBody>
      </xdr:sp>
      <xdr:sp macro="" textlink="">
        <xdr:nvSpPr>
          <xdr:cNvPr id="15" name="TextBox 14"/>
          <xdr:cNvSpPr txBox="1"/>
        </xdr:nvSpPr>
        <xdr:spPr>
          <a:xfrm>
            <a:off x="2352674" y="609600"/>
            <a:ext cx="17716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rPr>
              <a:t>Total</a:t>
            </a:r>
            <a:r>
              <a:rPr lang="en-US" sz="1600" b="1" baseline="0">
                <a:solidFill>
                  <a:sysClr val="windowText" lastClr="000000"/>
                </a:solidFill>
              </a:rPr>
              <a:t> Employees</a:t>
            </a:r>
            <a:endParaRPr lang="en-US" sz="1600" b="1">
              <a:solidFill>
                <a:sysClr val="windowText" lastClr="000000"/>
              </a:solidFill>
            </a:endParaRPr>
          </a:p>
        </xdr:txBody>
      </xdr:sp>
      <xdr:sp macro="" textlink="">
        <xdr:nvSpPr>
          <xdr:cNvPr id="16" name="TextBox 15"/>
          <xdr:cNvSpPr txBox="1"/>
        </xdr:nvSpPr>
        <xdr:spPr>
          <a:xfrm>
            <a:off x="4333873" y="600075"/>
            <a:ext cx="18764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rPr>
              <a:t>Avg</a:t>
            </a:r>
            <a:r>
              <a:rPr lang="en-US" sz="1600" b="1" baseline="0">
                <a:solidFill>
                  <a:sysClr val="windowText" lastClr="000000"/>
                </a:solidFill>
              </a:rPr>
              <a:t> Performance</a:t>
            </a:r>
          </a:p>
          <a:p>
            <a:pPr algn="ctr"/>
            <a:r>
              <a:rPr lang="en-US" sz="1600" b="1" baseline="0">
                <a:solidFill>
                  <a:sysClr val="windowText" lastClr="000000"/>
                </a:solidFill>
              </a:rPr>
              <a:t>Score</a:t>
            </a:r>
            <a:endParaRPr lang="en-US" sz="1600" b="1">
              <a:solidFill>
                <a:sysClr val="windowText" lastClr="000000"/>
              </a:solidFill>
            </a:endParaRPr>
          </a:p>
        </xdr:txBody>
      </xdr:sp>
      <xdr:sp macro="" textlink="">
        <xdr:nvSpPr>
          <xdr:cNvPr id="21" name="TextBox 20"/>
          <xdr:cNvSpPr txBox="1"/>
        </xdr:nvSpPr>
        <xdr:spPr>
          <a:xfrm>
            <a:off x="6162674" y="581025"/>
            <a:ext cx="18764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ysClr val="windowText" lastClr="000000"/>
                </a:solidFill>
              </a:rPr>
              <a:t>Avg</a:t>
            </a:r>
            <a:r>
              <a:rPr lang="en-US" sz="1600" b="1" baseline="0">
                <a:solidFill>
                  <a:sysClr val="windowText" lastClr="000000"/>
                </a:solidFill>
              </a:rPr>
              <a:t> Monthly Attendance</a:t>
            </a:r>
          </a:p>
        </xdr:txBody>
      </xdr:sp>
      <xdr:sp macro="" textlink="">
        <xdr:nvSpPr>
          <xdr:cNvPr id="22" name="TextBox 21"/>
          <xdr:cNvSpPr txBox="1"/>
        </xdr:nvSpPr>
        <xdr:spPr>
          <a:xfrm>
            <a:off x="8220074" y="628650"/>
            <a:ext cx="18764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bg1"/>
                </a:solidFill>
              </a:rPr>
              <a:t>Top Performing Department</a:t>
            </a:r>
          </a:p>
        </xdr:txBody>
      </xdr:sp>
      <xdr:sp macro="" textlink="">
        <xdr:nvSpPr>
          <xdr:cNvPr id="20" name="Rounded Rectangle 19"/>
          <xdr:cNvSpPr/>
        </xdr:nvSpPr>
        <xdr:spPr>
          <a:xfrm>
            <a:off x="10191751" y="104776"/>
            <a:ext cx="2400300" cy="1771650"/>
          </a:xfrm>
          <a:prstGeom prst="roundRect">
            <a:avLst/>
          </a:prstGeom>
          <a:solidFill>
            <a:schemeClr val="bg1">
              <a:lumMod val="50000"/>
            </a:schemeClr>
          </a:solidFill>
          <a:ln>
            <a:noFill/>
          </a:ln>
          <a:effectLst>
            <a:glow rad="228600">
              <a:schemeClr val="accent3">
                <a:satMod val="175000"/>
                <a:alpha val="40000"/>
              </a:schemeClr>
            </a:glow>
            <a:outerShdw blurRad="107950" dist="12700" dir="5400000" algn="ctr">
              <a:srgbClr val="000000"/>
            </a:outerShdw>
          </a:effectLst>
          <a:scene3d>
            <a:camera prst="perspectiveAbove"/>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19" name="Chart 18"/>
          <xdr:cNvGraphicFramePr>
            <a:graphicFrameLocks/>
          </xdr:cNvGraphicFramePr>
        </xdr:nvGraphicFramePr>
        <xdr:xfrm>
          <a:off x="10420350" y="703647"/>
          <a:ext cx="1866900" cy="12573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4" name="TextBox 23"/>
          <xdr:cNvSpPr txBox="1"/>
        </xdr:nvSpPr>
        <xdr:spPr>
          <a:xfrm>
            <a:off x="10544174" y="200024"/>
            <a:ext cx="1676401" cy="768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baseline="0">
                <a:solidFill>
                  <a:schemeClr val="bg1"/>
                </a:solidFill>
              </a:rPr>
              <a:t>% Eligible for Promotion</a:t>
            </a:r>
          </a:p>
        </xdr:txBody>
      </xdr:sp>
      <xdr:sp macro="" textlink="">
        <xdr:nvSpPr>
          <xdr:cNvPr id="3" name="Rounded Rectangle 2"/>
          <xdr:cNvSpPr/>
        </xdr:nvSpPr>
        <xdr:spPr>
          <a:xfrm>
            <a:off x="581025" y="1104900"/>
            <a:ext cx="1019175" cy="504825"/>
          </a:xfrm>
          <a:prstGeom prst="roundRect">
            <a:avLst/>
          </a:prstGeom>
          <a:solidFill>
            <a:schemeClr val="accent3">
              <a:lumMod val="60000"/>
              <a:lumOff val="40000"/>
            </a:schemeClr>
          </a:solidFill>
          <a:ln>
            <a:noFill/>
          </a:ln>
          <a:effectLst>
            <a:glow rad="2286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28">
        <xdr:nvSpPr>
          <xdr:cNvPr id="25" name="TextBox 24"/>
          <xdr:cNvSpPr txBox="1"/>
        </xdr:nvSpPr>
        <xdr:spPr>
          <a:xfrm>
            <a:off x="11049001" y="1057275"/>
            <a:ext cx="8001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CDCD46-E177-4A68-988E-FF0C80F2CDD3}" type="TxLink">
              <a:rPr lang="en-US" sz="1600" b="1" i="0" u="none" strike="noStrike" baseline="0">
                <a:solidFill>
                  <a:schemeClr val="bg1"/>
                </a:solidFill>
                <a:latin typeface="Calibri"/>
                <a:cs typeface="Calibri"/>
              </a:rPr>
              <a:pPr algn="ctr"/>
              <a:t>30%</a:t>
            </a:fld>
            <a:endParaRPr lang="en-US" sz="1600" b="1" baseline="0">
              <a:solidFill>
                <a:schemeClr val="bg1"/>
              </a:solidFill>
            </a:endParaRPr>
          </a:p>
        </xdr:txBody>
      </xdr:sp>
      <xdr:sp macro="" textlink="'Pivot Table'!C6">
        <xdr:nvSpPr>
          <xdr:cNvPr id="23" name="TextBox 22"/>
          <xdr:cNvSpPr txBox="1"/>
        </xdr:nvSpPr>
        <xdr:spPr>
          <a:xfrm>
            <a:off x="714374" y="1171575"/>
            <a:ext cx="76200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0DBB4C-9F5D-40FF-BDDE-A9661FBF7576}" type="TxLink">
              <a:rPr lang="en-US" sz="1600" b="1" i="0" u="none" strike="noStrike">
                <a:solidFill>
                  <a:srgbClr val="000000"/>
                </a:solidFill>
                <a:latin typeface="Calibri"/>
                <a:cs typeface="Calibri"/>
              </a:rPr>
              <a:pPr/>
              <a:t>81341</a:t>
            </a:fld>
            <a:endParaRPr lang="en-US" sz="1600" b="1">
              <a:solidFill>
                <a:sysClr val="windowText" lastClr="000000"/>
              </a:solidFill>
            </a:endParaRPr>
          </a:p>
        </xdr:txBody>
      </xdr:sp>
      <xdr:sp macro="" textlink="">
        <xdr:nvSpPr>
          <xdr:cNvPr id="26" name="Rounded Rectangle 25"/>
          <xdr:cNvSpPr/>
        </xdr:nvSpPr>
        <xdr:spPr>
          <a:xfrm>
            <a:off x="2590800" y="1104900"/>
            <a:ext cx="1057275" cy="504825"/>
          </a:xfrm>
          <a:prstGeom prst="roundRect">
            <a:avLst/>
          </a:prstGeom>
          <a:solidFill>
            <a:schemeClr val="accent3">
              <a:lumMod val="60000"/>
              <a:lumOff val="40000"/>
            </a:schemeClr>
          </a:solidFill>
          <a:ln>
            <a:noFill/>
          </a:ln>
          <a:effectLst>
            <a:glow rad="2286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7" name="Rounded Rectangle 26"/>
          <xdr:cNvSpPr/>
        </xdr:nvSpPr>
        <xdr:spPr>
          <a:xfrm>
            <a:off x="4648200" y="1143000"/>
            <a:ext cx="1057275" cy="504825"/>
          </a:xfrm>
          <a:prstGeom prst="roundRect">
            <a:avLst/>
          </a:prstGeom>
          <a:solidFill>
            <a:schemeClr val="accent3">
              <a:lumMod val="60000"/>
              <a:lumOff val="40000"/>
            </a:schemeClr>
          </a:solidFill>
          <a:ln>
            <a:noFill/>
          </a:ln>
          <a:effectLst>
            <a:glow rad="2286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8" name="Rounded Rectangle 27"/>
          <xdr:cNvSpPr/>
        </xdr:nvSpPr>
        <xdr:spPr>
          <a:xfrm>
            <a:off x="6572250" y="1162050"/>
            <a:ext cx="1057275" cy="504825"/>
          </a:xfrm>
          <a:prstGeom prst="roundRect">
            <a:avLst/>
          </a:prstGeom>
          <a:solidFill>
            <a:schemeClr val="accent3">
              <a:lumMod val="60000"/>
              <a:lumOff val="40000"/>
            </a:schemeClr>
          </a:solidFill>
          <a:ln>
            <a:noFill/>
          </a:ln>
          <a:effectLst>
            <a:glow rad="2286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9" name="Rounded Rectangle 28"/>
          <xdr:cNvSpPr/>
        </xdr:nvSpPr>
        <xdr:spPr>
          <a:xfrm>
            <a:off x="8610600" y="1190625"/>
            <a:ext cx="1057275" cy="504825"/>
          </a:xfrm>
          <a:prstGeom prst="roundRect">
            <a:avLst/>
          </a:prstGeom>
          <a:solidFill>
            <a:schemeClr val="accent3">
              <a:lumMod val="60000"/>
              <a:lumOff val="40000"/>
            </a:schemeClr>
          </a:solidFill>
          <a:ln>
            <a:noFill/>
          </a:ln>
          <a:effectLst>
            <a:glow rad="2286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Pivot Table'!C2">
        <xdr:nvSpPr>
          <xdr:cNvPr id="30" name="TextBox 29"/>
          <xdr:cNvSpPr txBox="1"/>
        </xdr:nvSpPr>
        <xdr:spPr>
          <a:xfrm>
            <a:off x="2905124" y="1162050"/>
            <a:ext cx="409576"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F1CF07-5EAE-4191-9152-AEDF03BA15C3}" type="TxLink">
              <a:rPr lang="en-US" sz="1600" b="1" i="0" u="none" strike="noStrike">
                <a:solidFill>
                  <a:srgbClr val="000000"/>
                </a:solidFill>
                <a:latin typeface="Calibri"/>
                <a:cs typeface="Calibri"/>
              </a:rPr>
              <a:pPr/>
              <a:t>50</a:t>
            </a:fld>
            <a:endParaRPr lang="en-US" sz="1600" b="1">
              <a:solidFill>
                <a:sysClr val="windowText" lastClr="000000"/>
              </a:solidFill>
            </a:endParaRPr>
          </a:p>
        </xdr:txBody>
      </xdr:sp>
      <xdr:sp macro="" textlink="'Pivot Table'!C10">
        <xdr:nvSpPr>
          <xdr:cNvPr id="31" name="TextBox 30"/>
          <xdr:cNvSpPr txBox="1"/>
        </xdr:nvSpPr>
        <xdr:spPr>
          <a:xfrm>
            <a:off x="4895849" y="1228725"/>
            <a:ext cx="647702"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48A9D9-D463-4BAA-81B9-DE1A01D8D809}" type="TxLink">
              <a:rPr lang="en-US" sz="1600" b="1" i="0" u="none" strike="noStrike">
                <a:solidFill>
                  <a:srgbClr val="000000"/>
                </a:solidFill>
                <a:latin typeface="Calibri"/>
                <a:cs typeface="Calibri"/>
              </a:rPr>
              <a:pPr/>
              <a:t>3.96</a:t>
            </a:fld>
            <a:endParaRPr lang="en-US" sz="1600" b="1">
              <a:solidFill>
                <a:sysClr val="windowText" lastClr="000000"/>
              </a:solidFill>
            </a:endParaRPr>
          </a:p>
        </xdr:txBody>
      </xdr:sp>
      <xdr:sp macro="" textlink="'Pivot Table'!C23">
        <xdr:nvSpPr>
          <xdr:cNvPr id="32" name="TextBox 31"/>
          <xdr:cNvSpPr txBox="1"/>
        </xdr:nvSpPr>
        <xdr:spPr>
          <a:xfrm>
            <a:off x="6648450" y="1228725"/>
            <a:ext cx="866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1275B0-9F17-4E6D-AD59-E1913499C597}" type="TxLink">
              <a:rPr lang="en-US" sz="1600" b="1" i="0" u="none" strike="noStrike">
                <a:solidFill>
                  <a:srgbClr val="000000"/>
                </a:solidFill>
                <a:latin typeface="Calibri"/>
                <a:cs typeface="Calibri"/>
              </a:rPr>
              <a:pPr algn="ctr"/>
              <a:t>87</a:t>
            </a:fld>
            <a:endParaRPr lang="en-US" sz="1600" b="1" baseline="0">
              <a:solidFill>
                <a:sysClr val="windowText" lastClr="000000"/>
              </a:solidFill>
            </a:endParaRPr>
          </a:p>
        </xdr:txBody>
      </xdr:sp>
      <xdr:sp macro="" textlink="'Pivot Table'!C14">
        <xdr:nvSpPr>
          <xdr:cNvPr id="33" name="TextBox 32"/>
          <xdr:cNvSpPr txBox="1"/>
        </xdr:nvSpPr>
        <xdr:spPr>
          <a:xfrm>
            <a:off x="8810625" y="1238250"/>
            <a:ext cx="6762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1BEF3A-4E45-4915-AB42-59669DA4D3B8}" type="TxLink">
              <a:rPr lang="en-US" sz="1600" b="1" i="0" u="none" strike="noStrike" baseline="0">
                <a:solidFill>
                  <a:srgbClr val="000000"/>
                </a:solidFill>
                <a:latin typeface="Calibri"/>
                <a:cs typeface="Calibri"/>
              </a:rPr>
              <a:pPr algn="ctr"/>
              <a:t>HR</a:t>
            </a:fld>
            <a:endParaRPr lang="en-US" sz="1600" b="1" baseline="0">
              <a:solidFill>
                <a:sysClr val="windowText" lastClr="000000"/>
              </a:solidFill>
            </a:endParaRPr>
          </a:p>
        </xdr:txBody>
      </xdr:sp>
    </xdr:grpSp>
    <xdr:clientData/>
  </xdr:twoCellAnchor>
  <xdr:twoCellAnchor>
    <xdr:from>
      <xdr:col>6</xdr:col>
      <xdr:colOff>390524</xdr:colOff>
      <xdr:row>0</xdr:row>
      <xdr:rowOff>0</xdr:rowOff>
    </xdr:from>
    <xdr:to>
      <xdr:col>12</xdr:col>
      <xdr:colOff>476250</xdr:colOff>
      <xdr:row>2</xdr:row>
      <xdr:rowOff>0</xdr:rowOff>
    </xdr:to>
    <xdr:sp macro="" textlink="">
      <xdr:nvSpPr>
        <xdr:cNvPr id="34" name="TextBox 33"/>
        <xdr:cNvSpPr txBox="1"/>
      </xdr:nvSpPr>
      <xdr:spPr>
        <a:xfrm>
          <a:off x="4048124" y="0"/>
          <a:ext cx="374332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solidFill>
            </a:rPr>
            <a:t>PRODUCTIVITY DASHBOARD</a:t>
          </a:r>
        </a:p>
      </xdr:txBody>
    </xdr:sp>
    <xdr:clientData/>
  </xdr:twoCellAnchor>
  <xdr:twoCellAnchor>
    <xdr:from>
      <xdr:col>0</xdr:col>
      <xdr:colOff>190500</xdr:colOff>
      <xdr:row>9</xdr:row>
      <xdr:rowOff>142875</xdr:rowOff>
    </xdr:from>
    <xdr:to>
      <xdr:col>8</xdr:col>
      <xdr:colOff>400050</xdr:colOff>
      <xdr:row>19</xdr:row>
      <xdr:rowOff>104775</xdr:rowOff>
    </xdr:to>
    <xdr:sp macro="" textlink="">
      <xdr:nvSpPr>
        <xdr:cNvPr id="6" name="Rounded Rectangle 5"/>
        <xdr:cNvSpPr/>
      </xdr:nvSpPr>
      <xdr:spPr>
        <a:xfrm>
          <a:off x="190500" y="1857375"/>
          <a:ext cx="5086350" cy="1866900"/>
        </a:xfrm>
        <a:prstGeom prst="roundRect">
          <a:avLst/>
        </a:prstGeom>
        <a:noFill/>
        <a:ln>
          <a:solidFill>
            <a:srgbClr val="00B050"/>
          </a:solidFill>
        </a:ln>
        <a:effectLst>
          <a:glow rad="228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1</xdr:colOff>
      <xdr:row>9</xdr:row>
      <xdr:rowOff>142875</xdr:rowOff>
    </xdr:from>
    <xdr:to>
      <xdr:col>11</xdr:col>
      <xdr:colOff>590551</xdr:colOff>
      <xdr:row>19</xdr:row>
      <xdr:rowOff>47625</xdr:rowOff>
    </xdr:to>
    <mc:AlternateContent xmlns:mc="http://schemas.openxmlformats.org/markup-compatibility/2006" xmlns:a14="http://schemas.microsoft.com/office/drawing/2010/main">
      <mc:Choice Requires="a14">
        <xdr:graphicFrame macro="">
          <xdr:nvGraphicFramePr>
            <xdr:cNvPr id="38" name="Year Joined"/>
            <xdr:cNvGraphicFramePr/>
          </xdr:nvGraphicFramePr>
          <xdr:xfrm>
            <a:off x="0" y="0"/>
            <a:ext cx="0" cy="0"/>
          </xdr:xfrm>
          <a:graphic>
            <a:graphicData uri="http://schemas.microsoft.com/office/drawing/2010/slicer">
              <sle:slicer xmlns:sle="http://schemas.microsoft.com/office/drawing/2010/slicer" name="Year Joined"/>
            </a:graphicData>
          </a:graphic>
        </xdr:graphicFrame>
      </mc:Choice>
      <mc:Fallback xmlns="">
        <xdr:sp macro="" textlink="">
          <xdr:nvSpPr>
            <xdr:cNvPr id="0" name=""/>
            <xdr:cNvSpPr>
              <a:spLocks noTextEdit="1"/>
            </xdr:cNvSpPr>
          </xdr:nvSpPr>
          <xdr:spPr>
            <a:xfrm>
              <a:off x="5486401" y="1857375"/>
              <a:ext cx="180975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190500</xdr:colOff>
      <xdr:row>10</xdr:row>
      <xdr:rowOff>0</xdr:rowOff>
    </xdr:from>
    <xdr:to>
      <xdr:col>20</xdr:col>
      <xdr:colOff>400050</xdr:colOff>
      <xdr:row>19</xdr:row>
      <xdr:rowOff>152400</xdr:rowOff>
    </xdr:to>
    <xdr:sp macro="" textlink="">
      <xdr:nvSpPr>
        <xdr:cNvPr id="39" name="Rounded Rectangle 38"/>
        <xdr:cNvSpPr/>
      </xdr:nvSpPr>
      <xdr:spPr>
        <a:xfrm>
          <a:off x="7505700" y="1905000"/>
          <a:ext cx="5086350" cy="1866900"/>
        </a:xfrm>
        <a:prstGeom prst="roundRect">
          <a:avLst/>
        </a:prstGeom>
        <a:noFill/>
        <a:ln>
          <a:solidFill>
            <a:srgbClr val="00B050"/>
          </a:solidFill>
        </a:ln>
        <a:effectLst>
          <a:glow rad="228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9</xdr:row>
      <xdr:rowOff>180975</xdr:rowOff>
    </xdr:from>
    <xdr:to>
      <xdr:col>8</xdr:col>
      <xdr:colOff>457200</xdr:colOff>
      <xdr:row>20</xdr:row>
      <xdr:rowOff>28575</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123825</xdr:colOff>
      <xdr:row>9</xdr:row>
      <xdr:rowOff>123825</xdr:rowOff>
    </xdr:from>
    <xdr:to>
      <xdr:col>20</xdr:col>
      <xdr:colOff>381000</xdr:colOff>
      <xdr:row>19</xdr:row>
      <xdr:rowOff>133350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180975</xdr:colOff>
      <xdr:row>20</xdr:row>
      <xdr:rowOff>9526</xdr:rowOff>
    </xdr:from>
    <xdr:to>
      <xdr:col>4</xdr:col>
      <xdr:colOff>438150</xdr:colOff>
      <xdr:row>30</xdr:row>
      <xdr:rowOff>104776</xdr:rowOff>
    </xdr:to>
    <xdr:sp macro="" textlink="">
      <xdr:nvSpPr>
        <xdr:cNvPr id="42" name="Rounded Rectangle 41"/>
        <xdr:cNvSpPr/>
      </xdr:nvSpPr>
      <xdr:spPr>
        <a:xfrm>
          <a:off x="180975" y="3819526"/>
          <a:ext cx="2695575" cy="2000250"/>
        </a:xfrm>
        <a:prstGeom prst="roundRect">
          <a:avLst/>
        </a:prstGeom>
        <a:noFill/>
        <a:ln>
          <a:solidFill>
            <a:srgbClr val="00B050"/>
          </a:solidFill>
        </a:ln>
        <a:effectLst>
          <a:glow rad="228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552450</xdr:colOff>
      <xdr:row>20</xdr:row>
      <xdr:rowOff>38100</xdr:rowOff>
    </xdr:from>
    <xdr:to>
      <xdr:col>9</xdr:col>
      <xdr:colOff>200025</xdr:colOff>
      <xdr:row>30</xdr:row>
      <xdr:rowOff>123825</xdr:rowOff>
    </xdr:to>
    <xdr:sp macro="" textlink="">
      <xdr:nvSpPr>
        <xdr:cNvPr id="43" name="Rounded Rectangle 42"/>
        <xdr:cNvSpPr/>
      </xdr:nvSpPr>
      <xdr:spPr>
        <a:xfrm>
          <a:off x="2990850" y="3848100"/>
          <a:ext cx="2695575" cy="1990725"/>
        </a:xfrm>
        <a:prstGeom prst="roundRect">
          <a:avLst/>
        </a:prstGeom>
        <a:noFill/>
        <a:ln>
          <a:solidFill>
            <a:srgbClr val="00B050"/>
          </a:solidFill>
        </a:ln>
        <a:effectLst>
          <a:glow rad="228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295276</xdr:colOff>
      <xdr:row>20</xdr:row>
      <xdr:rowOff>114300</xdr:rowOff>
    </xdr:from>
    <xdr:to>
      <xdr:col>15</xdr:col>
      <xdr:colOff>104775</xdr:colOff>
      <xdr:row>30</xdr:row>
      <xdr:rowOff>114300</xdr:rowOff>
    </xdr:to>
    <xdr:sp macro="" textlink="">
      <xdr:nvSpPr>
        <xdr:cNvPr id="44" name="Rounded Rectangle 43"/>
        <xdr:cNvSpPr/>
      </xdr:nvSpPr>
      <xdr:spPr>
        <a:xfrm>
          <a:off x="5781676" y="3924300"/>
          <a:ext cx="3467099" cy="1905000"/>
        </a:xfrm>
        <a:prstGeom prst="roundRect">
          <a:avLst/>
        </a:prstGeom>
        <a:noFill/>
        <a:ln>
          <a:solidFill>
            <a:srgbClr val="00B050"/>
          </a:solidFill>
        </a:ln>
        <a:effectLst>
          <a:glow rad="228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209551</xdr:colOff>
      <xdr:row>19</xdr:row>
      <xdr:rowOff>171450</xdr:rowOff>
    </xdr:from>
    <xdr:to>
      <xdr:col>5</xdr:col>
      <xdr:colOff>95251</xdr:colOff>
      <xdr:row>30</xdr:row>
      <xdr:rowOff>161925</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552450</xdr:colOff>
      <xdr:row>19</xdr:row>
      <xdr:rowOff>161925</xdr:rowOff>
    </xdr:from>
    <xdr:to>
      <xdr:col>9</xdr:col>
      <xdr:colOff>161925</xdr:colOff>
      <xdr:row>30</xdr:row>
      <xdr:rowOff>66675</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285749</xdr:colOff>
      <xdr:row>20</xdr:row>
      <xdr:rowOff>85725</xdr:rowOff>
    </xdr:from>
    <xdr:to>
      <xdr:col>15</xdr:col>
      <xdr:colOff>28575</xdr:colOff>
      <xdr:row>30</xdr:row>
      <xdr:rowOff>47623</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209549</xdr:colOff>
      <xdr:row>20</xdr:row>
      <xdr:rowOff>123825</xdr:rowOff>
    </xdr:from>
    <xdr:to>
      <xdr:col>20</xdr:col>
      <xdr:colOff>361950</xdr:colOff>
      <xdr:row>24</xdr:row>
      <xdr:rowOff>66675</xdr:rowOff>
    </xdr:to>
    <mc:AlternateContent xmlns:mc="http://schemas.openxmlformats.org/markup-compatibility/2006">
      <mc:Choice xmlns:a14="http://schemas.microsoft.com/office/drawing/2010/main" Requires="a14">
        <xdr:graphicFrame macro="">
          <xdr:nvGraphicFramePr>
            <xdr:cNvPr id="48" name="Performance Category"/>
            <xdr:cNvGraphicFramePr/>
          </xdr:nvGraphicFramePr>
          <xdr:xfrm>
            <a:off x="0" y="0"/>
            <a:ext cx="0" cy="0"/>
          </xdr:xfrm>
          <a:graphic>
            <a:graphicData uri="http://schemas.microsoft.com/office/drawing/2010/slicer">
              <sle:slicer xmlns:sle="http://schemas.microsoft.com/office/drawing/2010/slicer" name="Performance Category"/>
            </a:graphicData>
          </a:graphic>
        </xdr:graphicFrame>
      </mc:Choice>
      <mc:Fallback>
        <xdr:sp macro="" textlink="">
          <xdr:nvSpPr>
            <xdr:cNvPr id="0" name=""/>
            <xdr:cNvSpPr>
              <a:spLocks noTextEdit="1"/>
            </xdr:cNvSpPr>
          </xdr:nvSpPr>
          <xdr:spPr>
            <a:xfrm>
              <a:off x="9353549" y="3933825"/>
              <a:ext cx="3200401"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200025</xdr:colOff>
      <xdr:row>24</xdr:row>
      <xdr:rowOff>104775</xdr:rowOff>
    </xdr:from>
    <xdr:to>
      <xdr:col>20</xdr:col>
      <xdr:colOff>342901</xdr:colOff>
      <xdr:row>30</xdr:row>
      <xdr:rowOff>28574</xdr:rowOff>
    </xdr:to>
    <mc:AlternateContent xmlns:mc="http://schemas.openxmlformats.org/markup-compatibility/2006">
      <mc:Choice xmlns:a14="http://schemas.microsoft.com/office/drawing/2010/main" Requires="a14">
        <xdr:graphicFrame macro="">
          <xdr:nvGraphicFramePr>
            <xdr:cNvPr id="49"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344025" y="4676775"/>
              <a:ext cx="3190876" cy="1066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EW" refreshedDate="45868.596986574077" createdVersion="5" refreshedVersion="5" minRefreshableVersion="3" recordCount="50">
  <cacheSource type="worksheet">
    <worksheetSource name="Table1"/>
  </cacheSource>
  <cacheFields count="18">
    <cacheField name="Employee ID" numFmtId="0">
      <sharedItems/>
    </cacheField>
    <cacheField name="Name" numFmtId="0">
      <sharedItems/>
    </cacheField>
    <cacheField name="Gender" numFmtId="0">
      <sharedItems count="2">
        <s v="Female"/>
        <s v="Male"/>
      </sharedItems>
    </cacheField>
    <cacheField name="Department" numFmtId="0">
      <sharedItems count="6">
        <s v="Finance"/>
        <s v="Marketing"/>
        <s v="Sales"/>
        <s v="IT"/>
        <s v="HR"/>
        <s v="Operations"/>
      </sharedItems>
    </cacheField>
    <cacheField name="Salary" numFmtId="0">
      <sharedItems containsSemiMixedTypes="0" containsString="0" containsNumber="1" containsInteger="1" minValue="40206" maxValue="115766"/>
    </cacheField>
    <cacheField name="Working Hours/Week" numFmtId="0">
      <sharedItems containsSemiMixedTypes="0" containsString="0" containsNumber="1" containsInteger="1" minValue="30" maxValue="49"/>
    </cacheField>
    <cacheField name="Performance Score" numFmtId="0">
      <sharedItems containsSemiMixedTypes="0" containsString="0" containsNumber="1" minValue="2.5499999999999998" maxValue="4.99"/>
    </cacheField>
    <cacheField name="Certification Count" numFmtId="0">
      <sharedItems containsSemiMixedTypes="0" containsString="0" containsNumber="1" containsInteger="1" minValue="0" maxValue="5"/>
    </cacheField>
    <cacheField name="Monthly Attendance (%)" numFmtId="0">
      <sharedItems containsSemiMixedTypes="0" containsString="0" containsNumber="1" minValue="75.13" maxValue="99.86"/>
    </cacheField>
    <cacheField name="Year Joined" numFmtId="0">
      <sharedItems containsSemiMixedTypes="0" containsString="0" containsNumber="1" containsInteger="1" minValue="2015" maxValue="2023" count="9">
        <n v="2017"/>
        <n v="2021"/>
        <n v="2016"/>
        <n v="2020"/>
        <n v="2023"/>
        <n v="2015"/>
        <n v="2018"/>
        <n v="2019"/>
        <n v="2022"/>
      </sharedItems>
    </cacheField>
    <cacheField name="Overtime Hours/Month" numFmtId="0">
      <sharedItems containsSemiMixedTypes="0" containsString="0" containsNumber="1" containsInteger="1" minValue="0" maxValue="29"/>
    </cacheField>
    <cacheField name="Projects Completed" numFmtId="0">
      <sharedItems containsSemiMixedTypes="0" containsString="0" containsNumber="1" containsInteger="1" minValue="1" maxValue="14"/>
    </cacheField>
    <cacheField name="Client Satisfaction Score" numFmtId="0">
      <sharedItems containsSemiMixedTypes="0" containsString="0" containsNumber="1" minValue="3.08" maxValue="4.99"/>
    </cacheField>
    <cacheField name="Training Hours (Yearly)" numFmtId="0">
      <sharedItems containsSemiMixedTypes="0" containsString="0" containsNumber="1" containsInteger="1" minValue="10" maxValue="99"/>
    </cacheField>
    <cacheField name="Promotion Eligibility" numFmtId="0">
      <sharedItems count="2">
        <s v="Yes"/>
        <s v="No"/>
      </sharedItems>
    </cacheField>
    <cacheField name="Leave Days Taken (Yearly)" numFmtId="0">
      <sharedItems containsSemiMixedTypes="0" containsString="0" containsNumber="1" containsInteger="1" minValue="0" maxValue="19"/>
    </cacheField>
    <cacheField name="Remote Work Days (Monthly)" numFmtId="0">
      <sharedItems containsSemiMixedTypes="0" containsString="0" containsNumber="1" containsInteger="1" minValue="0" maxValue="14"/>
    </cacheField>
    <cacheField name="Performance Category" numFmtId="0">
      <sharedItems count="3">
        <s v="Excellent"/>
        <s v="Average"/>
        <s v="Below Averag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s v="EMP1000"/>
    <s v="Employee_1"/>
    <x v="0"/>
    <x v="0"/>
    <n v="40206"/>
    <n v="49"/>
    <n v="4.1900000000000004"/>
    <n v="3"/>
    <n v="85.86"/>
    <x v="0"/>
    <n v="2"/>
    <n v="7"/>
    <n v="3.7"/>
    <n v="67"/>
    <x v="0"/>
    <n v="0"/>
    <n v="14"/>
    <x v="0"/>
  </r>
  <r>
    <s v="EMP1001"/>
    <s v="Employee_2"/>
    <x v="0"/>
    <x v="0"/>
    <n v="63419"/>
    <n v="41"/>
    <n v="4.34"/>
    <n v="4"/>
    <n v="83.75"/>
    <x v="1"/>
    <n v="11"/>
    <n v="2"/>
    <n v="4.87"/>
    <n v="26"/>
    <x v="0"/>
    <n v="5"/>
    <n v="8"/>
    <x v="0"/>
  </r>
  <r>
    <s v="EMP1002"/>
    <s v="Employee_3"/>
    <x v="0"/>
    <x v="1"/>
    <n v="90636"/>
    <n v="36"/>
    <n v="3.02"/>
    <n v="2"/>
    <n v="91.13"/>
    <x v="2"/>
    <n v="25"/>
    <n v="1"/>
    <n v="3.08"/>
    <n v="16"/>
    <x v="1"/>
    <n v="5"/>
    <n v="1"/>
    <x v="1"/>
  </r>
  <r>
    <s v="EMP1003"/>
    <s v="Employee_4"/>
    <x v="1"/>
    <x v="0"/>
    <n v="90015"/>
    <n v="31"/>
    <n v="3.85"/>
    <n v="4"/>
    <n v="91.72"/>
    <x v="2"/>
    <n v="15"/>
    <n v="12"/>
    <n v="3.84"/>
    <n v="55"/>
    <x v="1"/>
    <n v="11"/>
    <n v="9"/>
    <x v="1"/>
  </r>
  <r>
    <s v="EMP1004"/>
    <s v="Employee_5"/>
    <x v="0"/>
    <x v="1"/>
    <n v="94268"/>
    <n v="32"/>
    <n v="4.24"/>
    <n v="4"/>
    <n v="96.6"/>
    <x v="1"/>
    <n v="18"/>
    <n v="11"/>
    <n v="4.9400000000000004"/>
    <n v="22"/>
    <x v="0"/>
    <n v="12"/>
    <n v="7"/>
    <x v="0"/>
  </r>
  <r>
    <s v="EMP1005"/>
    <s v="Employee_6"/>
    <x v="1"/>
    <x v="2"/>
    <n v="58141"/>
    <n v="46"/>
    <n v="3.07"/>
    <n v="1"/>
    <n v="80.75"/>
    <x v="3"/>
    <n v="4"/>
    <n v="4"/>
    <n v="4.0999999999999996"/>
    <n v="49"/>
    <x v="1"/>
    <n v="12"/>
    <n v="13"/>
    <x v="1"/>
  </r>
  <r>
    <s v="EMP1006"/>
    <s v="Employee_7"/>
    <x v="0"/>
    <x v="3"/>
    <n v="111910"/>
    <n v="34"/>
    <n v="2.94"/>
    <n v="2"/>
    <n v="87.48"/>
    <x v="0"/>
    <n v="21"/>
    <n v="8"/>
    <n v="3.85"/>
    <n v="51"/>
    <x v="1"/>
    <n v="14"/>
    <n v="1"/>
    <x v="2"/>
  </r>
  <r>
    <s v="EMP1007"/>
    <s v="Employee_8"/>
    <x v="0"/>
    <x v="3"/>
    <n v="96044"/>
    <n v="46"/>
    <n v="4.96"/>
    <n v="2"/>
    <n v="89.3"/>
    <x v="4"/>
    <n v="24"/>
    <n v="12"/>
    <n v="4.1399999999999997"/>
    <n v="18"/>
    <x v="1"/>
    <n v="15"/>
    <n v="10"/>
    <x v="0"/>
  </r>
  <r>
    <s v="EMP1008"/>
    <s v="Employee_9"/>
    <x v="0"/>
    <x v="3"/>
    <n v="107214"/>
    <n v="46"/>
    <n v="3.79"/>
    <n v="2"/>
    <n v="94.21"/>
    <x v="3"/>
    <n v="28"/>
    <n v="2"/>
    <n v="4.1500000000000004"/>
    <n v="59"/>
    <x v="1"/>
    <n v="10"/>
    <n v="12"/>
    <x v="1"/>
  </r>
  <r>
    <s v="EMP1009"/>
    <s v="Employee_10"/>
    <x v="1"/>
    <x v="0"/>
    <n v="73827"/>
    <n v="46"/>
    <n v="3.15"/>
    <n v="4"/>
    <n v="76.09"/>
    <x v="3"/>
    <n v="13"/>
    <n v="3"/>
    <n v="4.46"/>
    <n v="36"/>
    <x v="1"/>
    <n v="4"/>
    <n v="4"/>
    <x v="1"/>
  </r>
  <r>
    <s v="EMP1010"/>
    <s v="Employee_11"/>
    <x v="0"/>
    <x v="2"/>
    <n v="95820"/>
    <n v="31"/>
    <n v="4.99"/>
    <n v="3"/>
    <n v="99.86"/>
    <x v="5"/>
    <n v="27"/>
    <n v="12"/>
    <n v="3.26"/>
    <n v="75"/>
    <x v="0"/>
    <n v="3"/>
    <n v="6"/>
    <x v="0"/>
  </r>
  <r>
    <s v="EMP1011"/>
    <s v="Employee_12"/>
    <x v="1"/>
    <x v="0"/>
    <n v="102623"/>
    <n v="31"/>
    <n v="4.91"/>
    <n v="2"/>
    <n v="86.75"/>
    <x v="6"/>
    <n v="4"/>
    <n v="1"/>
    <n v="3.5"/>
    <n v="14"/>
    <x v="1"/>
    <n v="2"/>
    <n v="7"/>
    <x v="0"/>
  </r>
  <r>
    <s v="EMP1012"/>
    <s v="Employee_13"/>
    <x v="0"/>
    <x v="0"/>
    <n v="115450"/>
    <n v="34"/>
    <n v="3.9"/>
    <n v="5"/>
    <n v="81.99"/>
    <x v="3"/>
    <n v="14"/>
    <n v="1"/>
    <n v="4.16"/>
    <n v="38"/>
    <x v="1"/>
    <n v="18"/>
    <n v="0"/>
    <x v="1"/>
  </r>
  <r>
    <s v="EMP1013"/>
    <s v="Employee_14"/>
    <x v="1"/>
    <x v="2"/>
    <n v="62299"/>
    <n v="30"/>
    <n v="4.71"/>
    <n v="4"/>
    <n v="97.09"/>
    <x v="3"/>
    <n v="16"/>
    <n v="13"/>
    <n v="4.7300000000000004"/>
    <n v="46"/>
    <x v="0"/>
    <n v="19"/>
    <n v="5"/>
    <x v="0"/>
  </r>
  <r>
    <s v="EMP1014"/>
    <s v="Employee_15"/>
    <x v="0"/>
    <x v="2"/>
    <n v="83585"/>
    <n v="30"/>
    <n v="2.97"/>
    <n v="1"/>
    <n v="93.69"/>
    <x v="7"/>
    <n v="29"/>
    <n v="3"/>
    <n v="4.12"/>
    <n v="47"/>
    <x v="1"/>
    <n v="17"/>
    <n v="0"/>
    <x v="2"/>
  </r>
  <r>
    <s v="EMP1015"/>
    <s v="Employee_16"/>
    <x v="1"/>
    <x v="2"/>
    <n v="104044"/>
    <n v="48"/>
    <n v="3.2"/>
    <n v="3"/>
    <n v="98.83"/>
    <x v="5"/>
    <n v="13"/>
    <n v="11"/>
    <n v="3.48"/>
    <n v="92"/>
    <x v="1"/>
    <n v="14"/>
    <n v="1"/>
    <x v="1"/>
  </r>
  <r>
    <s v="EMP1016"/>
    <s v="Employee_17"/>
    <x v="1"/>
    <x v="2"/>
    <n v="82557"/>
    <n v="31"/>
    <n v="4.25"/>
    <n v="5"/>
    <n v="83.27"/>
    <x v="8"/>
    <n v="29"/>
    <n v="5"/>
    <n v="4.3600000000000003"/>
    <n v="17"/>
    <x v="0"/>
    <n v="8"/>
    <n v="14"/>
    <x v="0"/>
  </r>
  <r>
    <s v="EMP1017"/>
    <s v="Employee_18"/>
    <x v="0"/>
    <x v="3"/>
    <n v="89080"/>
    <n v="41"/>
    <n v="4.62"/>
    <n v="5"/>
    <n v="88.82"/>
    <x v="7"/>
    <n v="19"/>
    <n v="12"/>
    <n v="4.4800000000000004"/>
    <n v="74"/>
    <x v="0"/>
    <n v="16"/>
    <n v="0"/>
    <x v="0"/>
  </r>
  <r>
    <s v="EMP1018"/>
    <s v="Employee_19"/>
    <x v="1"/>
    <x v="4"/>
    <n v="42693"/>
    <n v="35"/>
    <n v="4.6399999999999997"/>
    <n v="1"/>
    <n v="89.31"/>
    <x v="7"/>
    <n v="4"/>
    <n v="3"/>
    <n v="3.48"/>
    <n v="95"/>
    <x v="1"/>
    <n v="13"/>
    <n v="10"/>
    <x v="0"/>
  </r>
  <r>
    <s v="EMP1019"/>
    <s v="Employee_20"/>
    <x v="0"/>
    <x v="4"/>
    <n v="109163"/>
    <n v="33"/>
    <n v="3.51"/>
    <n v="3"/>
    <n v="99.51"/>
    <x v="1"/>
    <n v="11"/>
    <n v="1"/>
    <n v="3.76"/>
    <n v="26"/>
    <x v="1"/>
    <n v="14"/>
    <n v="4"/>
    <x v="1"/>
  </r>
  <r>
    <s v="EMP1020"/>
    <s v="Employee_21"/>
    <x v="0"/>
    <x v="2"/>
    <n v="65939"/>
    <n v="40"/>
    <n v="4.72"/>
    <n v="4"/>
    <n v="76.88"/>
    <x v="6"/>
    <n v="15"/>
    <n v="1"/>
    <n v="4.07"/>
    <n v="80"/>
    <x v="0"/>
    <n v="0"/>
    <n v="9"/>
    <x v="0"/>
  </r>
  <r>
    <s v="EMP1021"/>
    <s v="Employee_22"/>
    <x v="0"/>
    <x v="4"/>
    <n v="88925"/>
    <n v="46"/>
    <n v="4.63"/>
    <n v="0"/>
    <n v="82.64"/>
    <x v="3"/>
    <n v="25"/>
    <n v="8"/>
    <n v="3.99"/>
    <n v="98"/>
    <x v="1"/>
    <n v="2"/>
    <n v="14"/>
    <x v="0"/>
  </r>
  <r>
    <s v="EMP1022"/>
    <s v="Employee_23"/>
    <x v="0"/>
    <x v="4"/>
    <n v="82941"/>
    <n v="35"/>
    <n v="4.84"/>
    <n v="3"/>
    <n v="79.77"/>
    <x v="6"/>
    <n v="25"/>
    <n v="10"/>
    <n v="3.78"/>
    <n v="54"/>
    <x v="0"/>
    <n v="15"/>
    <n v="8"/>
    <x v="0"/>
  </r>
  <r>
    <s v="EMP1023"/>
    <s v="Employee_24"/>
    <x v="0"/>
    <x v="2"/>
    <n v="61834"/>
    <n v="34"/>
    <n v="4.46"/>
    <n v="1"/>
    <n v="81.709999999999994"/>
    <x v="0"/>
    <n v="15"/>
    <n v="11"/>
    <n v="3.6"/>
    <n v="13"/>
    <x v="1"/>
    <n v="10"/>
    <n v="5"/>
    <x v="0"/>
  </r>
  <r>
    <s v="EMP1024"/>
    <s v="Employee_25"/>
    <x v="0"/>
    <x v="4"/>
    <n v="58047"/>
    <n v="49"/>
    <n v="4.17"/>
    <n v="5"/>
    <n v="87.13"/>
    <x v="1"/>
    <n v="20"/>
    <n v="12"/>
    <n v="3.2"/>
    <n v="45"/>
    <x v="0"/>
    <n v="11"/>
    <n v="10"/>
    <x v="0"/>
  </r>
  <r>
    <s v="EMP1025"/>
    <s v="Employee_26"/>
    <x v="0"/>
    <x v="0"/>
    <n v="66105"/>
    <n v="31"/>
    <n v="3.95"/>
    <n v="4"/>
    <n v="84.32"/>
    <x v="8"/>
    <n v="6"/>
    <n v="13"/>
    <n v="3.11"/>
    <n v="79"/>
    <x v="1"/>
    <n v="9"/>
    <n v="10"/>
    <x v="1"/>
  </r>
  <r>
    <s v="EMP1026"/>
    <s v="Employee_27"/>
    <x v="0"/>
    <x v="1"/>
    <n v="115766"/>
    <n v="35"/>
    <n v="3.43"/>
    <n v="3"/>
    <n v="84.87"/>
    <x v="6"/>
    <n v="3"/>
    <n v="13"/>
    <n v="4.92"/>
    <n v="40"/>
    <x v="1"/>
    <n v="15"/>
    <n v="0"/>
    <x v="1"/>
  </r>
  <r>
    <s v="EMP1027"/>
    <s v="Employee_28"/>
    <x v="0"/>
    <x v="1"/>
    <n v="55707"/>
    <n v="40"/>
    <n v="4.8499999999999996"/>
    <n v="0"/>
    <n v="96.11"/>
    <x v="2"/>
    <n v="0"/>
    <n v="12"/>
    <n v="4.6900000000000004"/>
    <n v="28"/>
    <x v="1"/>
    <n v="7"/>
    <n v="12"/>
    <x v="0"/>
  </r>
  <r>
    <s v="EMP1028"/>
    <s v="Employee_29"/>
    <x v="0"/>
    <x v="2"/>
    <n v="61976"/>
    <n v="45"/>
    <n v="4.93"/>
    <n v="0"/>
    <n v="98.25"/>
    <x v="0"/>
    <n v="29"/>
    <n v="14"/>
    <n v="3.71"/>
    <n v="70"/>
    <x v="1"/>
    <n v="5"/>
    <n v="0"/>
    <x v="0"/>
  </r>
  <r>
    <s v="EMP1029"/>
    <s v="Employee_30"/>
    <x v="0"/>
    <x v="3"/>
    <n v="84262"/>
    <n v="45"/>
    <n v="3.21"/>
    <n v="2"/>
    <n v="76.760000000000005"/>
    <x v="5"/>
    <n v="29"/>
    <n v="2"/>
    <n v="4.91"/>
    <n v="63"/>
    <x v="1"/>
    <n v="11"/>
    <n v="1"/>
    <x v="1"/>
  </r>
  <r>
    <s v="EMP1030"/>
    <s v="Employee_31"/>
    <x v="1"/>
    <x v="2"/>
    <n v="63776"/>
    <n v="30"/>
    <n v="3.26"/>
    <n v="2"/>
    <n v="80.22"/>
    <x v="8"/>
    <n v="4"/>
    <n v="13"/>
    <n v="4.3499999999999996"/>
    <n v="48"/>
    <x v="1"/>
    <n v="7"/>
    <n v="8"/>
    <x v="1"/>
  </r>
  <r>
    <s v="EMP1031"/>
    <s v="Employee_32"/>
    <x v="1"/>
    <x v="3"/>
    <n v="70080"/>
    <n v="38"/>
    <n v="3.71"/>
    <n v="1"/>
    <n v="91.78"/>
    <x v="0"/>
    <n v="22"/>
    <n v="3"/>
    <n v="3.97"/>
    <n v="83"/>
    <x v="1"/>
    <n v="3"/>
    <n v="2"/>
    <x v="1"/>
  </r>
  <r>
    <s v="EMP1032"/>
    <s v="Employee_33"/>
    <x v="0"/>
    <x v="1"/>
    <n v="106842"/>
    <n v="35"/>
    <n v="3.62"/>
    <n v="3"/>
    <n v="83.97"/>
    <x v="1"/>
    <n v="25"/>
    <n v="2"/>
    <n v="3.99"/>
    <n v="99"/>
    <x v="1"/>
    <n v="7"/>
    <n v="14"/>
    <x v="1"/>
  </r>
  <r>
    <s v="EMP1033"/>
    <s v="Employee_34"/>
    <x v="0"/>
    <x v="2"/>
    <n v="101373"/>
    <n v="45"/>
    <n v="4.99"/>
    <n v="3"/>
    <n v="81.349999999999994"/>
    <x v="7"/>
    <n v="9"/>
    <n v="3"/>
    <n v="3.17"/>
    <n v="28"/>
    <x v="0"/>
    <n v="17"/>
    <n v="0"/>
    <x v="0"/>
  </r>
  <r>
    <s v="EMP1034"/>
    <s v="Employee_35"/>
    <x v="0"/>
    <x v="5"/>
    <n v="46776"/>
    <n v="32"/>
    <n v="2.94"/>
    <n v="5"/>
    <n v="82.38"/>
    <x v="7"/>
    <n v="21"/>
    <n v="7"/>
    <n v="3.18"/>
    <n v="48"/>
    <x v="1"/>
    <n v="4"/>
    <n v="4"/>
    <x v="2"/>
  </r>
  <r>
    <s v="EMP1035"/>
    <s v="Employee_36"/>
    <x v="0"/>
    <x v="0"/>
    <n v="95016"/>
    <n v="49"/>
    <n v="2.5499999999999998"/>
    <n v="5"/>
    <n v="83.06"/>
    <x v="1"/>
    <n v="4"/>
    <n v="1"/>
    <n v="4.2"/>
    <n v="76"/>
    <x v="1"/>
    <n v="8"/>
    <n v="6"/>
    <x v="2"/>
  </r>
  <r>
    <s v="EMP1036"/>
    <s v="Employee_37"/>
    <x v="0"/>
    <x v="4"/>
    <n v="49474"/>
    <n v="33"/>
    <n v="3.73"/>
    <n v="5"/>
    <n v="96.22"/>
    <x v="4"/>
    <n v="3"/>
    <n v="10"/>
    <n v="4.1100000000000003"/>
    <n v="54"/>
    <x v="1"/>
    <n v="3"/>
    <n v="5"/>
    <x v="1"/>
  </r>
  <r>
    <s v="EMP1037"/>
    <s v="Employee_38"/>
    <x v="0"/>
    <x v="3"/>
    <n v="98053"/>
    <n v="48"/>
    <n v="2.95"/>
    <n v="2"/>
    <n v="78.42"/>
    <x v="7"/>
    <n v="1"/>
    <n v="8"/>
    <n v="3.43"/>
    <n v="22"/>
    <x v="1"/>
    <n v="16"/>
    <n v="11"/>
    <x v="2"/>
  </r>
  <r>
    <s v="EMP1038"/>
    <s v="Employee_39"/>
    <x v="0"/>
    <x v="5"/>
    <n v="61959"/>
    <n v="32"/>
    <n v="3.42"/>
    <n v="3"/>
    <n v="92.72"/>
    <x v="5"/>
    <n v="19"/>
    <n v="13"/>
    <n v="4.8899999999999997"/>
    <n v="67"/>
    <x v="1"/>
    <n v="8"/>
    <n v="0"/>
    <x v="1"/>
  </r>
  <r>
    <s v="EMP1039"/>
    <s v="Employee_40"/>
    <x v="0"/>
    <x v="4"/>
    <n v="45530"/>
    <n v="48"/>
    <n v="4.3600000000000003"/>
    <n v="3"/>
    <n v="88.82"/>
    <x v="5"/>
    <n v="9"/>
    <n v="10"/>
    <n v="4.5599999999999996"/>
    <n v="29"/>
    <x v="0"/>
    <n v="0"/>
    <n v="4"/>
    <x v="0"/>
  </r>
  <r>
    <s v="EMP1040"/>
    <s v="Employee_41"/>
    <x v="1"/>
    <x v="4"/>
    <n v="43748"/>
    <n v="49"/>
    <n v="4.3"/>
    <n v="0"/>
    <n v="82.41"/>
    <x v="2"/>
    <n v="25"/>
    <n v="10"/>
    <n v="3.23"/>
    <n v="81"/>
    <x v="1"/>
    <n v="19"/>
    <n v="14"/>
    <x v="0"/>
  </r>
  <r>
    <s v="EMP1041"/>
    <s v="Employee_42"/>
    <x v="0"/>
    <x v="2"/>
    <n v="53545"/>
    <n v="36"/>
    <n v="3.27"/>
    <n v="2"/>
    <n v="85.49"/>
    <x v="3"/>
    <n v="18"/>
    <n v="10"/>
    <n v="4.8600000000000003"/>
    <n v="70"/>
    <x v="1"/>
    <n v="12"/>
    <n v="4"/>
    <x v="1"/>
  </r>
  <r>
    <s v="EMP1042"/>
    <s v="Employee_43"/>
    <x v="1"/>
    <x v="4"/>
    <n v="106199"/>
    <n v="49"/>
    <n v="3.86"/>
    <n v="4"/>
    <n v="81.41"/>
    <x v="4"/>
    <n v="25"/>
    <n v="14"/>
    <n v="4.95"/>
    <n v="48"/>
    <x v="1"/>
    <n v="15"/>
    <n v="5"/>
    <x v="1"/>
  </r>
  <r>
    <s v="EMP1043"/>
    <s v="Employee_44"/>
    <x v="0"/>
    <x v="0"/>
    <n v="74766"/>
    <n v="38"/>
    <n v="3.77"/>
    <n v="2"/>
    <n v="90.29"/>
    <x v="8"/>
    <n v="0"/>
    <n v="2"/>
    <n v="4.99"/>
    <n v="10"/>
    <x v="1"/>
    <n v="12"/>
    <n v="2"/>
    <x v="1"/>
  </r>
  <r>
    <s v="EMP1044"/>
    <s v="Employee_45"/>
    <x v="0"/>
    <x v="5"/>
    <n v="113530"/>
    <n v="30"/>
    <n v="4.09"/>
    <n v="4"/>
    <n v="77.040000000000006"/>
    <x v="7"/>
    <n v="23"/>
    <n v="3"/>
    <n v="3.11"/>
    <n v="12"/>
    <x v="0"/>
    <n v="13"/>
    <n v="4"/>
    <x v="0"/>
  </r>
  <r>
    <s v="EMP1045"/>
    <s v="Employee_46"/>
    <x v="1"/>
    <x v="4"/>
    <n v="101087"/>
    <n v="37"/>
    <n v="3.13"/>
    <n v="0"/>
    <n v="75.13"/>
    <x v="5"/>
    <n v="4"/>
    <n v="9"/>
    <n v="4.47"/>
    <n v="86"/>
    <x v="1"/>
    <n v="2"/>
    <n v="6"/>
    <x v="1"/>
  </r>
  <r>
    <s v="EMP1046"/>
    <s v="Employee_47"/>
    <x v="0"/>
    <x v="2"/>
    <n v="108840"/>
    <n v="36"/>
    <n v="3.97"/>
    <n v="1"/>
    <n v="90.7"/>
    <x v="1"/>
    <n v="12"/>
    <n v="7"/>
    <n v="4.09"/>
    <n v="71"/>
    <x v="1"/>
    <n v="5"/>
    <n v="4"/>
    <x v="1"/>
  </r>
  <r>
    <s v="EMP1047"/>
    <s v="Employee_48"/>
    <x v="1"/>
    <x v="0"/>
    <n v="94384"/>
    <n v="47"/>
    <n v="4.95"/>
    <n v="3"/>
    <n v="79.86"/>
    <x v="7"/>
    <n v="3"/>
    <n v="4"/>
    <n v="4.41"/>
    <n v="72"/>
    <x v="0"/>
    <n v="17"/>
    <n v="4"/>
    <x v="0"/>
  </r>
  <r>
    <s v="EMP1048"/>
    <s v="Employee_49"/>
    <x v="0"/>
    <x v="1"/>
    <n v="91005"/>
    <n v="37"/>
    <n v="3.72"/>
    <n v="0"/>
    <n v="76.77"/>
    <x v="3"/>
    <n v="15"/>
    <n v="10"/>
    <n v="4.9400000000000004"/>
    <n v="34"/>
    <x v="1"/>
    <n v="18"/>
    <n v="4"/>
    <x v="1"/>
  </r>
  <r>
    <s v="EMP1049"/>
    <s v="Employee_50"/>
    <x v="0"/>
    <x v="5"/>
    <n v="86576"/>
    <n v="30"/>
    <n v="4.7699999999999996"/>
    <n v="3"/>
    <n v="84.92"/>
    <x v="1"/>
    <n v="23"/>
    <n v="5"/>
    <n v="4.38"/>
    <n v="65"/>
    <x v="0"/>
    <n v="4"/>
    <n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4">
  <location ref="N1:O10" firstHeaderRow="1" firstDataRow="1" firstDataCol="1"/>
  <pivotFields count="18">
    <pivotField showAll="0"/>
    <pivotField showAll="0"/>
    <pivotField showAll="0">
      <items count="3">
        <item x="0"/>
        <item x="1"/>
        <item t="default"/>
      </items>
    </pivotField>
    <pivotField showAll="0">
      <items count="7">
        <item x="0"/>
        <item x="4"/>
        <item x="3"/>
        <item x="1"/>
        <item x="5"/>
        <item x="2"/>
        <item t="default"/>
      </items>
    </pivotField>
    <pivotField showAll="0"/>
    <pivotField showAll="0"/>
    <pivotField showAll="0"/>
    <pivotField showAll="0"/>
    <pivotField showAll="0"/>
    <pivotField axis="axisRow" showAll="0">
      <items count="10">
        <item x="5"/>
        <item x="2"/>
        <item x="0"/>
        <item x="6"/>
        <item x="7"/>
        <item x="3"/>
        <item x="1"/>
        <item x="8"/>
        <item x="4"/>
        <item t="default"/>
      </items>
    </pivotField>
    <pivotField showAll="0"/>
    <pivotField dataField="1" showAll="0"/>
    <pivotField showAll="0"/>
    <pivotField showAll="0"/>
    <pivotField showAll="0"/>
    <pivotField showAll="0"/>
    <pivotField showAll="0"/>
    <pivotField showAll="0">
      <items count="4">
        <item x="1"/>
        <item x="2"/>
        <item x="0"/>
        <item t="default"/>
      </items>
    </pivotField>
  </pivotFields>
  <rowFields count="1">
    <field x="9"/>
  </rowFields>
  <rowItems count="9">
    <i>
      <x/>
    </i>
    <i>
      <x v="1"/>
    </i>
    <i>
      <x v="2"/>
    </i>
    <i>
      <x v="3"/>
    </i>
    <i>
      <x v="4"/>
    </i>
    <i>
      <x v="5"/>
    </i>
    <i>
      <x v="6"/>
    </i>
    <i>
      <x v="7"/>
    </i>
    <i>
      <x v="8"/>
    </i>
  </rowItems>
  <colItems count="1">
    <i/>
  </colItems>
  <dataFields count="1">
    <dataField name="Sum of Projects Completed" fld="11" baseField="0" baseItem="0"/>
  </dataFields>
  <formats count="1">
    <format dxfId="32">
      <pivotArea outline="0" collapsedLevelsAreSubtotals="1" fieldPosition="0"/>
    </format>
  </formats>
  <chartFormats count="5">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3:B20" firstHeaderRow="1" firstDataRow="1" firstDataCol="1"/>
  <pivotFields count="18">
    <pivotField showAll="0"/>
    <pivotField showAll="0"/>
    <pivotField showAll="0"/>
    <pivotField axis="axisRow" showAll="0">
      <items count="7">
        <item x="0"/>
        <item x="4"/>
        <item x="3"/>
        <item x="1"/>
        <item x="5"/>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Average of Performance Score" fld="6" subtotal="average"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9:A10" firstHeaderRow="1" firstDataRow="1" firstDataCol="0"/>
  <pivotFields count="18">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formance Score" fld="6" subtotal="average" baseField="0" baseItem="0"/>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9">
  <location ref="K1:L4" firstHeaderRow="1" firstDataRow="1" firstDataCol="1"/>
  <pivotFields count="18">
    <pivotField dataField="1" showAll="0"/>
    <pivotField showAll="0"/>
    <pivotField showAll="0">
      <items count="3">
        <item x="0"/>
        <item x="1"/>
        <item t="default"/>
      </items>
    </pivotField>
    <pivotField showAll="0">
      <items count="7">
        <item x="0"/>
        <item x="4"/>
        <item x="3"/>
        <item x="1"/>
        <item x="5"/>
        <item x="2"/>
        <item t="default"/>
      </items>
    </pivotField>
    <pivotField showAll="0"/>
    <pivotField showAll="0"/>
    <pivotField showAll="0"/>
    <pivotField showAll="0"/>
    <pivotField showAll="0"/>
    <pivotField showAll="0">
      <items count="10">
        <item x="5"/>
        <item x="2"/>
        <item x="0"/>
        <item x="6"/>
        <item x="7"/>
        <item x="3"/>
        <item x="1"/>
        <item x="8"/>
        <item x="4"/>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s>
  <rowFields count="1">
    <field x="17"/>
  </rowFields>
  <rowItems count="3">
    <i>
      <x/>
    </i>
    <i>
      <x v="1"/>
    </i>
    <i>
      <x v="2"/>
    </i>
  </rowItems>
  <colItems count="1">
    <i/>
  </colItems>
  <dataFields count="1">
    <dataField name="Count of Employee ID" fld="0" subtotal="count" baseField="0" baseItem="0"/>
  </dataFields>
  <formats count="1">
    <format dxfId="35">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7" count="1" selected="0">
            <x v="2"/>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5:A6" firstHeaderRow="1" firstDataRow="1" firstDataCol="0"/>
  <pivotFields count="18">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alary" fld="4" subtotal="average" baseField="0" baseItem="0" numFmtId="1"/>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7">
  <location ref="G1:H3" firstHeaderRow="1" firstDataRow="1" firstDataCol="1"/>
  <pivotFields count="18">
    <pivotField showAll="0"/>
    <pivotField showAll="0"/>
    <pivotField axis="axisRow" showAll="0">
      <items count="3">
        <item x="0"/>
        <item x="1"/>
        <item t="default"/>
      </items>
    </pivotField>
    <pivotField showAll="0">
      <items count="7">
        <item x="0"/>
        <item x="4"/>
        <item x="3"/>
        <item x="1"/>
        <item x="5"/>
        <item x="2"/>
        <item t="default"/>
      </items>
    </pivotField>
    <pivotField dataField="1" showAll="0"/>
    <pivotField showAll="0"/>
    <pivotField showAll="0"/>
    <pivotField showAll="0"/>
    <pivotField showAll="0"/>
    <pivotField showAll="0">
      <items count="10">
        <item x="5"/>
        <item x="2"/>
        <item x="0"/>
        <item x="6"/>
        <item x="7"/>
        <item x="3"/>
        <item x="1"/>
        <item x="8"/>
        <item x="4"/>
        <item t="default"/>
      </items>
    </pivotField>
    <pivotField showAll="0"/>
    <pivotField showAll="0"/>
    <pivotField showAll="0"/>
    <pivotField showAll="0"/>
    <pivotField showAll="0"/>
    <pivotField showAll="0"/>
    <pivotField showAll="0"/>
    <pivotField showAll="0">
      <items count="4">
        <item x="1"/>
        <item x="2"/>
        <item x="0"/>
        <item t="default"/>
      </items>
    </pivotField>
  </pivotFields>
  <rowFields count="1">
    <field x="2"/>
  </rowFields>
  <rowItems count="2">
    <i>
      <x/>
    </i>
    <i>
      <x v="1"/>
    </i>
  </rowItems>
  <colItems count="1">
    <i/>
  </colItems>
  <dataFields count="1">
    <dataField name="Average of Salary" fld="4" subtotal="average" baseField="2" baseItem="0"/>
  </dataFields>
  <formats count="1">
    <format dxfId="37">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1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4">
  <location ref="E1:F7" firstHeaderRow="1" firstDataRow="1" firstDataCol="1"/>
  <pivotFields count="18">
    <pivotField showAll="0"/>
    <pivotField showAll="0"/>
    <pivotField showAll="0">
      <items count="3">
        <item x="0"/>
        <item x="1"/>
        <item t="default"/>
      </items>
    </pivotField>
    <pivotField axis="axisRow" showAll="0">
      <items count="7">
        <item x="0"/>
        <item x="4"/>
        <item x="3"/>
        <item x="1"/>
        <item x="5"/>
        <item x="2"/>
        <item t="default"/>
      </items>
    </pivotField>
    <pivotField dataField="1" showAll="0"/>
    <pivotField showAll="0"/>
    <pivotField showAll="0"/>
    <pivotField showAll="0"/>
    <pivotField showAll="0"/>
    <pivotField showAll="0">
      <items count="10">
        <item x="5"/>
        <item x="2"/>
        <item x="0"/>
        <item x="6"/>
        <item x="7"/>
        <item x="3"/>
        <item x="1"/>
        <item x="8"/>
        <item x="4"/>
        <item t="default"/>
      </items>
    </pivotField>
    <pivotField showAll="0"/>
    <pivotField showAll="0"/>
    <pivotField showAll="0"/>
    <pivotField showAll="0"/>
    <pivotField showAll="0"/>
    <pivotField showAll="0"/>
    <pivotField showAll="0"/>
    <pivotField showAll="0">
      <items count="4">
        <item x="1"/>
        <item x="2"/>
        <item x="0"/>
        <item t="default"/>
      </items>
    </pivotField>
  </pivotFields>
  <rowFields count="1">
    <field x="3"/>
  </rowFields>
  <rowItems count="6">
    <i>
      <x/>
    </i>
    <i>
      <x v="1"/>
    </i>
    <i>
      <x v="2"/>
    </i>
    <i>
      <x v="3"/>
    </i>
    <i>
      <x v="4"/>
    </i>
    <i>
      <x v="5"/>
    </i>
  </rowItems>
  <colItems count="1">
    <i/>
  </colItems>
  <dataFields count="1">
    <dataField name="Average of Salary" fld="4" subtotal="average" baseField="3" baseItem="0"/>
  </dataFields>
  <formats count="1">
    <format dxfId="38">
      <pivotArea outline="0" collapsedLevelsAreSubtotals="1" fieldPosition="0"/>
    </format>
  </formats>
  <chartFormats count="7">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3" count="1" selected="0">
            <x v="0"/>
          </reference>
        </references>
      </pivotArea>
    </chartFormat>
    <chartFormat chart="13" format="16">
      <pivotArea type="data" outline="0" fieldPosition="0">
        <references count="2">
          <reference field="4294967294" count="1" selected="0">
            <x v="0"/>
          </reference>
          <reference field="3" count="1" selected="0">
            <x v="1"/>
          </reference>
        </references>
      </pivotArea>
    </chartFormat>
    <chartFormat chart="13" format="17">
      <pivotArea type="data" outline="0" fieldPosition="0">
        <references count="2">
          <reference field="4294967294" count="1" selected="0">
            <x v="0"/>
          </reference>
          <reference field="3" count="1" selected="0">
            <x v="2"/>
          </reference>
        </references>
      </pivotArea>
    </chartFormat>
    <chartFormat chart="13" format="18">
      <pivotArea type="data" outline="0" fieldPosition="0">
        <references count="2">
          <reference field="4294967294" count="1" selected="0">
            <x v="0"/>
          </reference>
          <reference field="3" count="1" selected="0">
            <x v="3"/>
          </reference>
        </references>
      </pivotArea>
    </chartFormat>
    <chartFormat chart="13" format="19">
      <pivotArea type="data" outline="0" fieldPosition="0">
        <references count="2">
          <reference field="4294967294" count="1" selected="0">
            <x v="0"/>
          </reference>
          <reference field="3" count="1" selected="0">
            <x v="4"/>
          </reference>
        </references>
      </pivotArea>
    </chartFormat>
    <chartFormat chart="13"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2">
  <location ref="R16:T22" firstHeaderRow="0" firstDataRow="1" firstDataCol="1"/>
  <pivotFields count="18">
    <pivotField showAll="0"/>
    <pivotField showAll="0"/>
    <pivotField showAll="0">
      <items count="3">
        <item x="0"/>
        <item x="1"/>
        <item t="default"/>
      </items>
    </pivotField>
    <pivotField axis="axisRow" showAll="0">
      <items count="7">
        <item x="0"/>
        <item x="4"/>
        <item x="3"/>
        <item x="1"/>
        <item x="5"/>
        <item x="2"/>
        <item t="default"/>
      </items>
    </pivotField>
    <pivotField showAll="0"/>
    <pivotField showAll="0"/>
    <pivotField dataField="1" showAll="0"/>
    <pivotField showAll="0"/>
    <pivotField dataField="1" showAll="0"/>
    <pivotField showAll="0">
      <items count="10">
        <item x="5"/>
        <item x="2"/>
        <item x="0"/>
        <item x="6"/>
        <item x="7"/>
        <item x="3"/>
        <item x="1"/>
        <item x="8"/>
        <item x="4"/>
        <item t="default"/>
      </items>
    </pivotField>
    <pivotField showAll="0"/>
    <pivotField showAll="0"/>
    <pivotField showAll="0"/>
    <pivotField showAll="0"/>
    <pivotField showAll="0"/>
    <pivotField showAll="0"/>
    <pivotField showAll="0"/>
    <pivotField showAll="0">
      <items count="4">
        <item x="1"/>
        <item x="2"/>
        <item x="0"/>
        <item t="default"/>
      </items>
    </pivotField>
  </pivotFields>
  <rowFields count="1">
    <field x="3"/>
  </rowFields>
  <rowItems count="6">
    <i>
      <x/>
    </i>
    <i>
      <x v="1"/>
    </i>
    <i>
      <x v="2"/>
    </i>
    <i>
      <x v="3"/>
    </i>
    <i>
      <x v="4"/>
    </i>
    <i>
      <x v="5"/>
    </i>
  </rowItems>
  <colFields count="1">
    <field x="-2"/>
  </colFields>
  <colItems count="2">
    <i>
      <x/>
    </i>
    <i i="1">
      <x v="1"/>
    </i>
  </colItems>
  <dataFields count="2">
    <dataField name="Sum of Performance Score" fld="6" baseField="3" baseItem="2"/>
    <dataField name="Average of Monthly Attendance (%)" fld="8" subtotal="average" baseField="3" baseItem="0"/>
  </dataFields>
  <formats count="1">
    <format dxfId="39">
      <pivotArea outline="0" collapsedLevelsAreSubtotals="1" fieldPosition="0"/>
    </format>
  </formats>
  <chartFormats count="4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1"/>
          </reference>
          <reference field="3" count="1" selected="0">
            <x v="1"/>
          </reference>
        </references>
      </pivotArea>
    </chartFormat>
    <chartFormat chart="11" format="3">
      <pivotArea type="data" outline="0" fieldPosition="0">
        <references count="2">
          <reference field="4294967294" count="1" selected="0">
            <x v="1"/>
          </reference>
          <reference field="3" count="1" selected="0">
            <x v="2"/>
          </reference>
        </references>
      </pivotArea>
    </chartFormat>
    <chartFormat chart="11" format="4">
      <pivotArea type="data" outline="0" fieldPosition="0">
        <references count="2">
          <reference field="4294967294" count="1" selected="0">
            <x v="0"/>
          </reference>
          <reference field="3" count="1" selected="0">
            <x v="4"/>
          </reference>
        </references>
      </pivotArea>
    </chartFormat>
    <chartFormat chart="11" format="5">
      <pivotArea type="data" outline="0" fieldPosition="0">
        <references count="2">
          <reference field="4294967294" count="1" selected="0">
            <x v="0"/>
          </reference>
          <reference field="3" count="1" selected="0">
            <x v="3"/>
          </reference>
        </references>
      </pivotArea>
    </chartFormat>
    <chartFormat chart="11" format="6">
      <pivotArea type="data" outline="0" fieldPosition="0">
        <references count="2">
          <reference field="4294967294" count="1" selected="0">
            <x v="0"/>
          </reference>
          <reference field="3" count="1" selected="0">
            <x v="2"/>
          </reference>
        </references>
      </pivotArea>
    </chartFormat>
    <chartFormat chart="11" format="7">
      <pivotArea type="data" outline="0" fieldPosition="0">
        <references count="2">
          <reference field="4294967294" count="1" selected="0">
            <x v="0"/>
          </reference>
          <reference field="3" count="1" selected="0">
            <x v="1"/>
          </reference>
        </references>
      </pivotArea>
    </chartFormat>
    <chartFormat chart="11" format="8">
      <pivotArea type="data" outline="0" fieldPosition="0">
        <references count="2">
          <reference field="4294967294" count="1" selected="0">
            <x v="0"/>
          </reference>
          <reference field="3" count="1" selected="0">
            <x v="0"/>
          </reference>
        </references>
      </pivotArea>
    </chartFormat>
    <chartFormat chart="11" format="9">
      <pivotArea type="data" outline="0" fieldPosition="0">
        <references count="2">
          <reference field="4294967294" count="1" selected="0">
            <x v="0"/>
          </reference>
          <reference field="3" count="1" selected="0">
            <x v="5"/>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3" count="1" selected="0">
            <x v="0"/>
          </reference>
        </references>
      </pivotArea>
    </chartFormat>
    <chartFormat chart="13" format="12">
      <pivotArea type="data" outline="0" fieldPosition="0">
        <references count="2">
          <reference field="4294967294" count="1" selected="0">
            <x v="0"/>
          </reference>
          <reference field="3" count="1" selected="0">
            <x v="1"/>
          </reference>
        </references>
      </pivotArea>
    </chartFormat>
    <chartFormat chart="13" format="13">
      <pivotArea type="data" outline="0" fieldPosition="0">
        <references count="2">
          <reference field="4294967294" count="1" selected="0">
            <x v="0"/>
          </reference>
          <reference field="3" count="1" selected="0">
            <x v="2"/>
          </reference>
        </references>
      </pivotArea>
    </chartFormat>
    <chartFormat chart="13" format="14">
      <pivotArea type="data" outline="0" fieldPosition="0">
        <references count="2">
          <reference field="4294967294" count="1" selected="0">
            <x v="0"/>
          </reference>
          <reference field="3" count="1" selected="0">
            <x v="3"/>
          </reference>
        </references>
      </pivotArea>
    </chartFormat>
    <chartFormat chart="13" format="15">
      <pivotArea type="data" outline="0" fieldPosition="0">
        <references count="2">
          <reference field="4294967294" count="1" selected="0">
            <x v="0"/>
          </reference>
          <reference field="3" count="1" selected="0">
            <x v="4"/>
          </reference>
        </references>
      </pivotArea>
    </chartFormat>
    <chartFormat chart="13" format="16">
      <pivotArea type="data" outline="0" fieldPosition="0">
        <references count="2">
          <reference field="4294967294" count="1" selected="0">
            <x v="0"/>
          </reference>
          <reference field="3" count="1" selected="0">
            <x v="5"/>
          </reference>
        </references>
      </pivotArea>
    </chartFormat>
    <chartFormat chart="13" format="17" series="1">
      <pivotArea type="data" outline="0" fieldPosition="0">
        <references count="1">
          <reference field="4294967294" count="1" selected="0">
            <x v="1"/>
          </reference>
        </references>
      </pivotArea>
    </chartFormat>
    <chartFormat chart="13" format="18">
      <pivotArea type="data" outline="0" fieldPosition="0">
        <references count="2">
          <reference field="4294967294" count="1" selected="0">
            <x v="1"/>
          </reference>
          <reference field="3" count="1" selected="0">
            <x v="1"/>
          </reference>
        </references>
      </pivotArea>
    </chartFormat>
    <chartFormat chart="13" format="19">
      <pivotArea type="data" outline="0" fieldPosition="0">
        <references count="2">
          <reference field="4294967294" count="1" selected="0">
            <x v="1"/>
          </reference>
          <reference field="3" count="1" selected="0">
            <x v="2"/>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3" count="1" selected="0">
            <x v="0"/>
          </reference>
        </references>
      </pivotArea>
    </chartFormat>
    <chartFormat chart="14" format="22">
      <pivotArea type="data" outline="0" fieldPosition="0">
        <references count="2">
          <reference field="4294967294" count="1" selected="0">
            <x v="0"/>
          </reference>
          <reference field="3" count="1" selected="0">
            <x v="1"/>
          </reference>
        </references>
      </pivotArea>
    </chartFormat>
    <chartFormat chart="14" format="23">
      <pivotArea type="data" outline="0" fieldPosition="0">
        <references count="2">
          <reference field="4294967294" count="1" selected="0">
            <x v="0"/>
          </reference>
          <reference field="3" count="1" selected="0">
            <x v="2"/>
          </reference>
        </references>
      </pivotArea>
    </chartFormat>
    <chartFormat chart="14" format="24">
      <pivotArea type="data" outline="0" fieldPosition="0">
        <references count="2">
          <reference field="4294967294" count="1" selected="0">
            <x v="0"/>
          </reference>
          <reference field="3" count="1" selected="0">
            <x v="3"/>
          </reference>
        </references>
      </pivotArea>
    </chartFormat>
    <chartFormat chart="14" format="25">
      <pivotArea type="data" outline="0" fieldPosition="0">
        <references count="2">
          <reference field="4294967294" count="1" selected="0">
            <x v="0"/>
          </reference>
          <reference field="3" count="1" selected="0">
            <x v="4"/>
          </reference>
        </references>
      </pivotArea>
    </chartFormat>
    <chartFormat chart="14" format="26">
      <pivotArea type="data" outline="0" fieldPosition="0">
        <references count="2">
          <reference field="4294967294" count="1" selected="0">
            <x v="0"/>
          </reference>
          <reference field="3" count="1" selected="0">
            <x v="5"/>
          </reference>
        </references>
      </pivotArea>
    </chartFormat>
    <chartFormat chart="14" format="27" series="1">
      <pivotArea type="data" outline="0" fieldPosition="0">
        <references count="1">
          <reference field="4294967294" count="1" selected="0">
            <x v="1"/>
          </reference>
        </references>
      </pivotArea>
    </chartFormat>
    <chartFormat chart="14" format="28">
      <pivotArea type="data" outline="0" fieldPosition="0">
        <references count="2">
          <reference field="4294967294" count="1" selected="0">
            <x v="1"/>
          </reference>
          <reference field="3" count="1" selected="0">
            <x v="1"/>
          </reference>
        </references>
      </pivotArea>
    </chartFormat>
    <chartFormat chart="14" format="29">
      <pivotArea type="data" outline="0" fieldPosition="0">
        <references count="2">
          <reference field="4294967294" count="1" selected="0">
            <x v="1"/>
          </reference>
          <reference field="3"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1" format="6">
      <pivotArea type="data" outline="0" fieldPosition="0">
        <references count="2">
          <reference field="4294967294" count="1" selected="0">
            <x v="0"/>
          </reference>
          <reference field="3" count="1" selected="0">
            <x v="0"/>
          </reference>
        </references>
      </pivotArea>
    </chartFormat>
    <chartFormat chart="21" format="7">
      <pivotArea type="data" outline="0" fieldPosition="0">
        <references count="2">
          <reference field="4294967294" count="1" selected="0">
            <x v="0"/>
          </reference>
          <reference field="3" count="1" selected="0">
            <x v="1"/>
          </reference>
        </references>
      </pivotArea>
    </chartFormat>
    <chartFormat chart="21" format="8">
      <pivotArea type="data" outline="0" fieldPosition="0">
        <references count="2">
          <reference field="4294967294" count="1" selected="0">
            <x v="0"/>
          </reference>
          <reference field="3" count="1" selected="0">
            <x v="2"/>
          </reference>
        </references>
      </pivotArea>
    </chartFormat>
    <chartFormat chart="21" format="9">
      <pivotArea type="data" outline="0" fieldPosition="0">
        <references count="2">
          <reference field="4294967294" count="1" selected="0">
            <x v="0"/>
          </reference>
          <reference field="3" count="1" selected="0">
            <x v="3"/>
          </reference>
        </references>
      </pivotArea>
    </chartFormat>
    <chartFormat chart="21" format="10">
      <pivotArea type="data" outline="0" fieldPosition="0">
        <references count="2">
          <reference field="4294967294" count="1" selected="0">
            <x v="0"/>
          </reference>
          <reference field="3" count="1" selected="0">
            <x v="4"/>
          </reference>
        </references>
      </pivotArea>
    </chartFormat>
    <chartFormat chart="21" format="1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9">
  <location ref="R4:T10" firstHeaderRow="0" firstDataRow="1" firstDataCol="1" rowPageCount="1" colPageCount="1"/>
  <pivotFields count="18">
    <pivotField showAll="0"/>
    <pivotField showAll="0"/>
    <pivotField axis="axisPage" showAll="0">
      <items count="3">
        <item x="0"/>
        <item x="1"/>
        <item t="default"/>
      </items>
    </pivotField>
    <pivotField axis="axisRow" showAll="0">
      <items count="7">
        <item x="0"/>
        <item x="4"/>
        <item x="3"/>
        <item x="1"/>
        <item x="5"/>
        <item x="2"/>
        <item t="default"/>
      </items>
    </pivotField>
    <pivotField showAll="0"/>
    <pivotField showAll="0"/>
    <pivotField dataField="1" showAll="0"/>
    <pivotField showAll="0"/>
    <pivotField dataField="1" showAll="0"/>
    <pivotField showAll="0">
      <items count="10">
        <item x="5"/>
        <item x="2"/>
        <item x="0"/>
        <item x="6"/>
        <item x="7"/>
        <item x="3"/>
        <item x="1"/>
        <item x="8"/>
        <item x="4"/>
        <item t="default"/>
      </items>
    </pivotField>
    <pivotField showAll="0"/>
    <pivotField showAll="0"/>
    <pivotField showAll="0"/>
    <pivotField showAll="0"/>
    <pivotField showAll="0"/>
    <pivotField showAll="0"/>
    <pivotField showAll="0"/>
    <pivotField showAll="0">
      <items count="4">
        <item x="1"/>
        <item x="2"/>
        <item x="0"/>
        <item t="default"/>
      </items>
    </pivotField>
  </pivotFields>
  <rowFields count="1">
    <field x="3"/>
  </rowFields>
  <rowItems count="6">
    <i>
      <x/>
    </i>
    <i>
      <x v="1"/>
    </i>
    <i>
      <x v="2"/>
    </i>
    <i>
      <x v="3"/>
    </i>
    <i>
      <x v="4"/>
    </i>
    <i>
      <x v="5"/>
    </i>
  </rowItems>
  <colFields count="1">
    <field x="-2"/>
  </colFields>
  <colItems count="2">
    <i>
      <x/>
    </i>
    <i i="1">
      <x v="1"/>
    </i>
  </colItems>
  <pageFields count="1">
    <pageField fld="2" hier="-1"/>
  </pageFields>
  <dataFields count="2">
    <dataField name="Average of Performance Score" fld="6" subtotal="average" baseField="3" baseItem="0"/>
    <dataField name="Average of Monthly Attendance (%)" fld="8" subtotal="average" baseField="3" baseItem="0"/>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2:A23" firstHeaderRow="1" firstDataRow="1" firstDataCol="0"/>
  <pivotFields count="18">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 Attendance (%)" fld="8" subtotal="average" baseField="0" baseItem="0"/>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
  <location ref="A26:B28" firstHeaderRow="1" firstDataRow="1" firstDataCol="1"/>
  <pivotFields count="18">
    <pivotField showAll="0"/>
    <pivotField showAll="0"/>
    <pivotField showAll="0">
      <items count="3">
        <item x="0"/>
        <item x="1"/>
        <item t="default"/>
      </items>
    </pivotField>
    <pivotField showAll="0">
      <items count="7">
        <item x="0"/>
        <item x="4"/>
        <item x="3"/>
        <item x="1"/>
        <item x="5"/>
        <item x="2"/>
        <item t="default"/>
      </items>
    </pivotField>
    <pivotField showAll="0"/>
    <pivotField showAll="0"/>
    <pivotField showAll="0"/>
    <pivotField showAll="0"/>
    <pivotField showAll="0"/>
    <pivotField showAll="0">
      <items count="10">
        <item x="5"/>
        <item x="2"/>
        <item x="0"/>
        <item x="6"/>
        <item x="7"/>
        <item x="3"/>
        <item x="1"/>
        <item x="8"/>
        <item x="4"/>
        <item t="default"/>
      </items>
    </pivotField>
    <pivotField showAll="0"/>
    <pivotField showAll="0"/>
    <pivotField showAll="0"/>
    <pivotField showAll="0"/>
    <pivotField axis="axisRow" dataField="1" showAll="0">
      <items count="3">
        <item x="1"/>
        <item x="0"/>
        <item t="default"/>
      </items>
    </pivotField>
    <pivotField showAll="0"/>
    <pivotField showAll="0"/>
    <pivotField showAll="0">
      <items count="4">
        <item x="1"/>
        <item x="2"/>
        <item x="0"/>
        <item t="default"/>
      </items>
    </pivotField>
  </pivotFields>
  <rowFields count="1">
    <field x="14"/>
  </rowFields>
  <rowItems count="2">
    <i>
      <x/>
    </i>
    <i>
      <x v="1"/>
    </i>
  </rowItems>
  <colItems count="1">
    <i/>
  </colItems>
  <dataFields count="1">
    <dataField name="Count of Promotion Eligibility" fld="14" subtotal="count" showDataAs="percentOfCol" baseField="0" baseItem="0" numFmtId="10"/>
  </dataFields>
  <formats count="2">
    <format dxfId="43">
      <pivotArea outline="0" collapsedLevelsAreSubtotals="1" fieldPosition="0"/>
    </format>
    <format dxfId="42">
      <pivotArea outline="0" fieldPosition="0">
        <references count="1">
          <reference field="4294967294" count="1">
            <x v="0"/>
          </reference>
        </references>
      </pivotArea>
    </format>
  </formats>
  <chartFormats count="3">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6"/>
    <pivotTable tabId="2" name="PivotTable7"/>
    <pivotTable tabId="2" name="PivotTable8"/>
    <pivotTable tabId="2" name="PivotTable9"/>
    <pivotTable tabId="2" name="PivotTable10"/>
    <pivotTable tabId="2" name="PivotTable12"/>
    <pivotTable tabId="2" name="PivotTable1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_Joined" sourceName="Year Joined">
  <pivotTables>
    <pivotTable tabId="2" name="PivotTable6"/>
    <pivotTable tabId="2" name="PivotTable7"/>
    <pivotTable tabId="2" name="PivotTable8"/>
    <pivotTable tabId="2" name="PivotTable9"/>
    <pivotTable tabId="2" name="PivotTable10"/>
    <pivotTable tabId="2" name="PivotTable12"/>
    <pivotTable tabId="2" name="PivotTable13"/>
  </pivotTables>
  <data>
    <tabular pivotCacheId="1">
      <items count="9">
        <i x="5" s="1"/>
        <i x="2" s="1"/>
        <i x="0" s="1"/>
        <i x="6" s="1"/>
        <i x="7" s="1"/>
        <i x="3" s="1"/>
        <i x="1" s="1"/>
        <i x="8"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erformance_Category" sourceName="Performance Category">
  <pivotTables>
    <pivotTable tabId="2" name="PivotTable6"/>
    <pivotTable tabId="2" name="PivotTable7"/>
    <pivotTable tabId="2" name="PivotTable8"/>
    <pivotTable tabId="2" name="PivotTable9"/>
    <pivotTable tabId="2" name="PivotTable10"/>
    <pivotTable tabId="2" name="PivotTable12"/>
    <pivotTable tabId="2" name="PivotTable13"/>
  </pivotTables>
  <data>
    <tabular pivotCacheId="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6"/>
    <pivotTable tabId="2" name="PivotTable7"/>
    <pivotTable tabId="2" name="PivotTable8"/>
    <pivotTable tabId="2" name="PivotTable9"/>
    <pivotTable tabId="2" name="PivotTable10"/>
    <pivotTable tabId="2" name="PivotTable12"/>
    <pivotTable tabId="2" name="PivotTable13"/>
  </pivotTables>
  <data>
    <tabular pivotCacheId="1">
      <items count="6">
        <i x="0" s="1"/>
        <i x="4" s="1"/>
        <i x="3"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Joined" cache="Slicer_Year_Joined" caption="Year Joined" columnCount="3" style="SlicerStyleLight3" rowHeight="457200"/>
  <slicer name="Performance Category" cache="Slicer_Performance_Category" caption="Performance Category" columnCount="3" style="SlicerStyleLight3" rowHeight="241300"/>
  <slicer name="Department" cache="Slicer_Department" caption="Department" columnCount="3" style="SlicerStyleLight3" rowHeight="241300"/>
</slicers>
</file>

<file path=xl/tables/table1.xml><?xml version="1.0" encoding="utf-8"?>
<table xmlns="http://schemas.openxmlformats.org/spreadsheetml/2006/main" id="1" name="Table1" displayName="Table1" ref="A1:R52" totalsRowCount="1" headerRowDxfId="46" headerRowBorderDxfId="45" tableBorderDxfId="44">
  <autoFilter ref="A1:R51"/>
  <tableColumns count="18">
    <tableColumn id="1" name="Employee ID"/>
    <tableColumn id="2" name="Name"/>
    <tableColumn id="3" name="Gender"/>
    <tableColumn id="4" name="Department"/>
    <tableColumn id="5" name="Salary"/>
    <tableColumn id="6" name="Working Hours/Week"/>
    <tableColumn id="7" name="Performance Score"/>
    <tableColumn id="8" name="Certification Count"/>
    <tableColumn id="9" name="Monthly Attendance (%)"/>
    <tableColumn id="10" name="Year Joined"/>
    <tableColumn id="11" name="Overtime Hours/Month"/>
    <tableColumn id="12" name="Projects Completed"/>
    <tableColumn id="13" name="Client Satisfaction Score"/>
    <tableColumn id="14" name="Training Hours (Yearly)"/>
    <tableColumn id="15" name="Promotion Eligibility" totalsRowFunction="custom">
      <totalsRowFormula>COUNTIF([1]Data!O2:O1000,"Yes")/COUNTA([1]Data!O2:O1000)</totalsRowFormula>
    </tableColumn>
    <tableColumn id="16" name="Leave Days Taken (Yearly)"/>
    <tableColumn id="17" name="Remote Work Days (Monthly)"/>
    <tableColumn id="18" name="Performance Categ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opLeftCell="A32" workbookViewId="0">
      <selection activeCell="G1" activeCellId="1" sqref="I1:I51 G1:G51"/>
    </sheetView>
  </sheetViews>
  <sheetFormatPr defaultRowHeight="15" x14ac:dyDescent="0.25"/>
  <cols>
    <col min="1" max="1" width="14.28515625" customWidth="1"/>
    <col min="2" max="2" width="12.85546875" bestFit="1" customWidth="1"/>
    <col min="3" max="3" width="9.85546875" customWidth="1"/>
    <col min="4" max="4" width="13.85546875" customWidth="1"/>
    <col min="6" max="6" width="22.42578125" customWidth="1"/>
    <col min="7" max="8" width="19.85546875" customWidth="1"/>
    <col min="9" max="9" width="24.85546875" customWidth="1"/>
    <col min="10" max="10" width="13.42578125" customWidth="1"/>
    <col min="11" max="11" width="24" customWidth="1"/>
    <col min="12" max="12" width="20.5703125" customWidth="1"/>
    <col min="13" max="13" width="24.42578125" customWidth="1"/>
    <col min="14" max="14" width="23.28515625" customWidth="1"/>
    <col min="15" max="15" width="21.28515625" customWidth="1"/>
    <col min="16" max="16" width="26" customWidth="1"/>
    <col min="17" max="17" width="29.42578125" customWidth="1"/>
    <col min="18" max="18" width="22.8554687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v>
      </c>
      <c r="B2" t="s">
        <v>68</v>
      </c>
      <c r="C2" t="s">
        <v>118</v>
      </c>
      <c r="D2" t="s">
        <v>120</v>
      </c>
      <c r="E2">
        <v>40206</v>
      </c>
      <c r="F2">
        <v>49</v>
      </c>
      <c r="G2">
        <v>4.1900000000000004</v>
      </c>
      <c r="H2">
        <v>3</v>
      </c>
      <c r="I2">
        <v>85.86</v>
      </c>
      <c r="J2">
        <v>2017</v>
      </c>
      <c r="K2">
        <v>2</v>
      </c>
      <c r="L2">
        <v>7</v>
      </c>
      <c r="M2">
        <v>3.7</v>
      </c>
      <c r="N2">
        <v>67</v>
      </c>
      <c r="O2" t="s">
        <v>126</v>
      </c>
      <c r="P2">
        <v>0</v>
      </c>
      <c r="Q2">
        <v>14</v>
      </c>
      <c r="R2" t="s">
        <v>128</v>
      </c>
    </row>
    <row r="3" spans="1:18" x14ac:dyDescent="0.25">
      <c r="A3" t="s">
        <v>19</v>
      </c>
      <c r="B3" t="s">
        <v>69</v>
      </c>
      <c r="C3" t="s">
        <v>118</v>
      </c>
      <c r="D3" t="s">
        <v>120</v>
      </c>
      <c r="E3">
        <v>63419</v>
      </c>
      <c r="F3">
        <v>41</v>
      </c>
      <c r="G3">
        <v>4.34</v>
      </c>
      <c r="H3">
        <v>4</v>
      </c>
      <c r="I3">
        <v>83.75</v>
      </c>
      <c r="J3">
        <v>2021</v>
      </c>
      <c r="K3">
        <v>11</v>
      </c>
      <c r="L3">
        <v>2</v>
      </c>
      <c r="M3">
        <v>4.87</v>
      </c>
      <c r="N3">
        <v>26</v>
      </c>
      <c r="O3" t="s">
        <v>126</v>
      </c>
      <c r="P3">
        <v>5</v>
      </c>
      <c r="Q3">
        <v>8</v>
      </c>
      <c r="R3" t="s">
        <v>128</v>
      </c>
    </row>
    <row r="4" spans="1:18" x14ac:dyDescent="0.25">
      <c r="A4" t="s">
        <v>20</v>
      </c>
      <c r="B4" t="s">
        <v>70</v>
      </c>
      <c r="C4" t="s">
        <v>118</v>
      </c>
      <c r="D4" t="s">
        <v>121</v>
      </c>
      <c r="E4">
        <v>90636</v>
      </c>
      <c r="F4">
        <v>36</v>
      </c>
      <c r="G4">
        <v>3.02</v>
      </c>
      <c r="H4">
        <v>2</v>
      </c>
      <c r="I4">
        <v>91.13</v>
      </c>
      <c r="J4">
        <v>2016</v>
      </c>
      <c r="K4">
        <v>25</v>
      </c>
      <c r="L4">
        <v>1</v>
      </c>
      <c r="M4">
        <v>3.08</v>
      </c>
      <c r="N4">
        <v>16</v>
      </c>
      <c r="O4" t="s">
        <v>127</v>
      </c>
      <c r="P4">
        <v>5</v>
      </c>
      <c r="Q4">
        <v>1</v>
      </c>
      <c r="R4" t="s">
        <v>129</v>
      </c>
    </row>
    <row r="5" spans="1:18" x14ac:dyDescent="0.25">
      <c r="A5" t="s">
        <v>21</v>
      </c>
      <c r="B5" t="s">
        <v>71</v>
      </c>
      <c r="C5" t="s">
        <v>119</v>
      </c>
      <c r="D5" t="s">
        <v>120</v>
      </c>
      <c r="E5">
        <v>90015</v>
      </c>
      <c r="F5">
        <v>31</v>
      </c>
      <c r="G5">
        <v>3.85</v>
      </c>
      <c r="H5">
        <v>4</v>
      </c>
      <c r="I5">
        <v>91.72</v>
      </c>
      <c r="J5">
        <v>2016</v>
      </c>
      <c r="K5">
        <v>15</v>
      </c>
      <c r="L5">
        <v>12</v>
      </c>
      <c r="M5">
        <v>3.84</v>
      </c>
      <c r="N5">
        <v>55</v>
      </c>
      <c r="O5" t="s">
        <v>127</v>
      </c>
      <c r="P5">
        <v>11</v>
      </c>
      <c r="Q5">
        <v>9</v>
      </c>
      <c r="R5" t="s">
        <v>129</v>
      </c>
    </row>
    <row r="6" spans="1:18" x14ac:dyDescent="0.25">
      <c r="A6" t="s">
        <v>22</v>
      </c>
      <c r="B6" t="s">
        <v>72</v>
      </c>
      <c r="C6" t="s">
        <v>118</v>
      </c>
      <c r="D6" t="s">
        <v>121</v>
      </c>
      <c r="E6">
        <v>94268</v>
      </c>
      <c r="F6">
        <v>32</v>
      </c>
      <c r="G6">
        <v>4.24</v>
      </c>
      <c r="H6">
        <v>4</v>
      </c>
      <c r="I6">
        <v>96.6</v>
      </c>
      <c r="J6">
        <v>2021</v>
      </c>
      <c r="K6">
        <v>18</v>
      </c>
      <c r="L6">
        <v>11</v>
      </c>
      <c r="M6">
        <v>4.9400000000000004</v>
      </c>
      <c r="N6">
        <v>22</v>
      </c>
      <c r="O6" t="s">
        <v>126</v>
      </c>
      <c r="P6">
        <v>12</v>
      </c>
      <c r="Q6">
        <v>7</v>
      </c>
      <c r="R6" t="s">
        <v>128</v>
      </c>
    </row>
    <row r="7" spans="1:18" x14ac:dyDescent="0.25">
      <c r="A7" t="s">
        <v>23</v>
      </c>
      <c r="B7" t="s">
        <v>73</v>
      </c>
      <c r="C7" t="s">
        <v>119</v>
      </c>
      <c r="D7" t="s">
        <v>122</v>
      </c>
      <c r="E7">
        <v>58141</v>
      </c>
      <c r="F7">
        <v>46</v>
      </c>
      <c r="G7">
        <v>3.07</v>
      </c>
      <c r="H7">
        <v>1</v>
      </c>
      <c r="I7">
        <v>80.75</v>
      </c>
      <c r="J7">
        <v>2020</v>
      </c>
      <c r="K7">
        <v>4</v>
      </c>
      <c r="L7">
        <v>4</v>
      </c>
      <c r="M7">
        <v>4.0999999999999996</v>
      </c>
      <c r="N7">
        <v>49</v>
      </c>
      <c r="O7" t="s">
        <v>127</v>
      </c>
      <c r="P7">
        <v>12</v>
      </c>
      <c r="Q7">
        <v>13</v>
      </c>
      <c r="R7" t="s">
        <v>129</v>
      </c>
    </row>
    <row r="8" spans="1:18" x14ac:dyDescent="0.25">
      <c r="A8" t="s">
        <v>24</v>
      </c>
      <c r="B8" t="s">
        <v>74</v>
      </c>
      <c r="C8" t="s">
        <v>118</v>
      </c>
      <c r="D8" t="s">
        <v>123</v>
      </c>
      <c r="E8">
        <v>111910</v>
      </c>
      <c r="F8">
        <v>34</v>
      </c>
      <c r="G8">
        <v>2.94</v>
      </c>
      <c r="H8">
        <v>2</v>
      </c>
      <c r="I8">
        <v>87.48</v>
      </c>
      <c r="J8">
        <v>2017</v>
      </c>
      <c r="K8">
        <v>21</v>
      </c>
      <c r="L8">
        <v>8</v>
      </c>
      <c r="M8">
        <v>3.85</v>
      </c>
      <c r="N8">
        <v>51</v>
      </c>
      <c r="O8" t="s">
        <v>127</v>
      </c>
      <c r="P8">
        <v>14</v>
      </c>
      <c r="Q8">
        <v>1</v>
      </c>
      <c r="R8" t="s">
        <v>130</v>
      </c>
    </row>
    <row r="9" spans="1:18" x14ac:dyDescent="0.25">
      <c r="A9" t="s">
        <v>25</v>
      </c>
      <c r="B9" t="s">
        <v>75</v>
      </c>
      <c r="C9" t="s">
        <v>118</v>
      </c>
      <c r="D9" t="s">
        <v>123</v>
      </c>
      <c r="E9">
        <v>96044</v>
      </c>
      <c r="F9">
        <v>46</v>
      </c>
      <c r="G9">
        <v>4.96</v>
      </c>
      <c r="H9">
        <v>2</v>
      </c>
      <c r="I9">
        <v>89.3</v>
      </c>
      <c r="J9">
        <v>2023</v>
      </c>
      <c r="K9">
        <v>24</v>
      </c>
      <c r="L9">
        <v>12</v>
      </c>
      <c r="M9">
        <v>4.1399999999999997</v>
      </c>
      <c r="N9">
        <v>18</v>
      </c>
      <c r="O9" t="s">
        <v>127</v>
      </c>
      <c r="P9">
        <v>15</v>
      </c>
      <c r="Q9">
        <v>10</v>
      </c>
      <c r="R9" t="s">
        <v>128</v>
      </c>
    </row>
    <row r="10" spans="1:18" x14ac:dyDescent="0.25">
      <c r="A10" t="s">
        <v>26</v>
      </c>
      <c r="B10" t="s">
        <v>76</v>
      </c>
      <c r="C10" t="s">
        <v>118</v>
      </c>
      <c r="D10" t="s">
        <v>123</v>
      </c>
      <c r="E10">
        <v>107214</v>
      </c>
      <c r="F10">
        <v>46</v>
      </c>
      <c r="G10">
        <v>3.79</v>
      </c>
      <c r="H10">
        <v>2</v>
      </c>
      <c r="I10">
        <v>94.21</v>
      </c>
      <c r="J10">
        <v>2020</v>
      </c>
      <c r="K10">
        <v>28</v>
      </c>
      <c r="L10">
        <v>2</v>
      </c>
      <c r="M10">
        <v>4.1500000000000004</v>
      </c>
      <c r="N10">
        <v>59</v>
      </c>
      <c r="O10" t="s">
        <v>127</v>
      </c>
      <c r="P10">
        <v>10</v>
      </c>
      <c r="Q10">
        <v>12</v>
      </c>
      <c r="R10" t="s">
        <v>129</v>
      </c>
    </row>
    <row r="11" spans="1:18" x14ac:dyDescent="0.25">
      <c r="A11" t="s">
        <v>27</v>
      </c>
      <c r="B11" t="s">
        <v>77</v>
      </c>
      <c r="C11" t="s">
        <v>119</v>
      </c>
      <c r="D11" t="s">
        <v>120</v>
      </c>
      <c r="E11">
        <v>73827</v>
      </c>
      <c r="F11">
        <v>46</v>
      </c>
      <c r="G11">
        <v>3.15</v>
      </c>
      <c r="H11">
        <v>4</v>
      </c>
      <c r="I11">
        <v>76.09</v>
      </c>
      <c r="J11">
        <v>2020</v>
      </c>
      <c r="K11">
        <v>13</v>
      </c>
      <c r="L11">
        <v>3</v>
      </c>
      <c r="M11">
        <v>4.46</v>
      </c>
      <c r="N11">
        <v>36</v>
      </c>
      <c r="O11" t="s">
        <v>127</v>
      </c>
      <c r="P11">
        <v>4</v>
      </c>
      <c r="Q11">
        <v>4</v>
      </c>
      <c r="R11" t="s">
        <v>129</v>
      </c>
    </row>
    <row r="12" spans="1:18" x14ac:dyDescent="0.25">
      <c r="A12" t="s">
        <v>28</v>
      </c>
      <c r="B12" t="s">
        <v>78</v>
      </c>
      <c r="C12" t="s">
        <v>118</v>
      </c>
      <c r="D12" t="s">
        <v>122</v>
      </c>
      <c r="E12">
        <v>95820</v>
      </c>
      <c r="F12">
        <v>31</v>
      </c>
      <c r="G12">
        <v>4.99</v>
      </c>
      <c r="H12">
        <v>3</v>
      </c>
      <c r="I12">
        <v>99.86</v>
      </c>
      <c r="J12">
        <v>2015</v>
      </c>
      <c r="K12">
        <v>27</v>
      </c>
      <c r="L12">
        <v>12</v>
      </c>
      <c r="M12">
        <v>3.26</v>
      </c>
      <c r="N12">
        <v>75</v>
      </c>
      <c r="O12" t="s">
        <v>126</v>
      </c>
      <c r="P12">
        <v>3</v>
      </c>
      <c r="Q12">
        <v>6</v>
      </c>
      <c r="R12" t="s">
        <v>128</v>
      </c>
    </row>
    <row r="13" spans="1:18" x14ac:dyDescent="0.25">
      <c r="A13" t="s">
        <v>29</v>
      </c>
      <c r="B13" t="s">
        <v>79</v>
      </c>
      <c r="C13" t="s">
        <v>119</v>
      </c>
      <c r="D13" t="s">
        <v>120</v>
      </c>
      <c r="E13">
        <v>102623</v>
      </c>
      <c r="F13">
        <v>31</v>
      </c>
      <c r="G13">
        <v>4.91</v>
      </c>
      <c r="H13">
        <v>2</v>
      </c>
      <c r="I13">
        <v>86.75</v>
      </c>
      <c r="J13">
        <v>2018</v>
      </c>
      <c r="K13">
        <v>4</v>
      </c>
      <c r="L13">
        <v>1</v>
      </c>
      <c r="M13">
        <v>3.5</v>
      </c>
      <c r="N13">
        <v>14</v>
      </c>
      <c r="O13" t="s">
        <v>127</v>
      </c>
      <c r="P13">
        <v>2</v>
      </c>
      <c r="Q13">
        <v>7</v>
      </c>
      <c r="R13" t="s">
        <v>128</v>
      </c>
    </row>
    <row r="14" spans="1:18" x14ac:dyDescent="0.25">
      <c r="A14" t="s">
        <v>30</v>
      </c>
      <c r="B14" t="s">
        <v>80</v>
      </c>
      <c r="C14" t="s">
        <v>118</v>
      </c>
      <c r="D14" t="s">
        <v>120</v>
      </c>
      <c r="E14">
        <v>115450</v>
      </c>
      <c r="F14">
        <v>34</v>
      </c>
      <c r="G14">
        <v>3.9</v>
      </c>
      <c r="H14">
        <v>5</v>
      </c>
      <c r="I14">
        <v>81.99</v>
      </c>
      <c r="J14">
        <v>2020</v>
      </c>
      <c r="K14">
        <v>14</v>
      </c>
      <c r="L14">
        <v>1</v>
      </c>
      <c r="M14">
        <v>4.16</v>
      </c>
      <c r="N14">
        <v>38</v>
      </c>
      <c r="O14" t="s">
        <v>127</v>
      </c>
      <c r="P14">
        <v>18</v>
      </c>
      <c r="Q14">
        <v>0</v>
      </c>
      <c r="R14" t="s">
        <v>129</v>
      </c>
    </row>
    <row r="15" spans="1:18" x14ac:dyDescent="0.25">
      <c r="A15" t="s">
        <v>31</v>
      </c>
      <c r="B15" t="s">
        <v>81</v>
      </c>
      <c r="C15" t="s">
        <v>119</v>
      </c>
      <c r="D15" t="s">
        <v>122</v>
      </c>
      <c r="E15">
        <v>62299</v>
      </c>
      <c r="F15">
        <v>30</v>
      </c>
      <c r="G15">
        <v>4.71</v>
      </c>
      <c r="H15">
        <v>4</v>
      </c>
      <c r="I15">
        <v>97.09</v>
      </c>
      <c r="J15">
        <v>2020</v>
      </c>
      <c r="K15">
        <v>16</v>
      </c>
      <c r="L15">
        <v>13</v>
      </c>
      <c r="M15">
        <v>4.7300000000000004</v>
      </c>
      <c r="N15">
        <v>46</v>
      </c>
      <c r="O15" t="s">
        <v>126</v>
      </c>
      <c r="P15">
        <v>19</v>
      </c>
      <c r="Q15">
        <v>5</v>
      </c>
      <c r="R15" t="s">
        <v>128</v>
      </c>
    </row>
    <row r="16" spans="1:18" x14ac:dyDescent="0.25">
      <c r="A16" t="s">
        <v>32</v>
      </c>
      <c r="B16" t="s">
        <v>82</v>
      </c>
      <c r="C16" t="s">
        <v>118</v>
      </c>
      <c r="D16" t="s">
        <v>122</v>
      </c>
      <c r="E16">
        <v>83585</v>
      </c>
      <c r="F16">
        <v>30</v>
      </c>
      <c r="G16">
        <v>2.97</v>
      </c>
      <c r="H16">
        <v>1</v>
      </c>
      <c r="I16">
        <v>93.69</v>
      </c>
      <c r="J16">
        <v>2019</v>
      </c>
      <c r="K16">
        <v>29</v>
      </c>
      <c r="L16">
        <v>3</v>
      </c>
      <c r="M16">
        <v>4.12</v>
      </c>
      <c r="N16">
        <v>47</v>
      </c>
      <c r="O16" t="s">
        <v>127</v>
      </c>
      <c r="P16">
        <v>17</v>
      </c>
      <c r="Q16">
        <v>0</v>
      </c>
      <c r="R16" t="s">
        <v>130</v>
      </c>
    </row>
    <row r="17" spans="1:18" x14ac:dyDescent="0.25">
      <c r="A17" t="s">
        <v>33</v>
      </c>
      <c r="B17" t="s">
        <v>83</v>
      </c>
      <c r="C17" t="s">
        <v>119</v>
      </c>
      <c r="D17" t="s">
        <v>122</v>
      </c>
      <c r="E17">
        <v>104044</v>
      </c>
      <c r="F17">
        <v>48</v>
      </c>
      <c r="G17">
        <v>3.2</v>
      </c>
      <c r="H17">
        <v>3</v>
      </c>
      <c r="I17">
        <v>98.83</v>
      </c>
      <c r="J17">
        <v>2015</v>
      </c>
      <c r="K17">
        <v>13</v>
      </c>
      <c r="L17">
        <v>11</v>
      </c>
      <c r="M17">
        <v>3.48</v>
      </c>
      <c r="N17">
        <v>92</v>
      </c>
      <c r="O17" t="s">
        <v>127</v>
      </c>
      <c r="P17">
        <v>14</v>
      </c>
      <c r="Q17">
        <v>1</v>
      </c>
      <c r="R17" t="s">
        <v>129</v>
      </c>
    </row>
    <row r="18" spans="1:18" x14ac:dyDescent="0.25">
      <c r="A18" t="s">
        <v>34</v>
      </c>
      <c r="B18" t="s">
        <v>84</v>
      </c>
      <c r="C18" t="s">
        <v>119</v>
      </c>
      <c r="D18" t="s">
        <v>122</v>
      </c>
      <c r="E18">
        <v>82557</v>
      </c>
      <c r="F18">
        <v>31</v>
      </c>
      <c r="G18">
        <v>4.25</v>
      </c>
      <c r="H18">
        <v>5</v>
      </c>
      <c r="I18">
        <v>83.27</v>
      </c>
      <c r="J18">
        <v>2022</v>
      </c>
      <c r="K18">
        <v>29</v>
      </c>
      <c r="L18">
        <v>5</v>
      </c>
      <c r="M18">
        <v>4.3600000000000003</v>
      </c>
      <c r="N18">
        <v>17</v>
      </c>
      <c r="O18" t="s">
        <v>126</v>
      </c>
      <c r="P18">
        <v>8</v>
      </c>
      <c r="Q18">
        <v>14</v>
      </c>
      <c r="R18" t="s">
        <v>128</v>
      </c>
    </row>
    <row r="19" spans="1:18" x14ac:dyDescent="0.25">
      <c r="A19" t="s">
        <v>35</v>
      </c>
      <c r="B19" t="s">
        <v>85</v>
      </c>
      <c r="C19" t="s">
        <v>118</v>
      </c>
      <c r="D19" t="s">
        <v>123</v>
      </c>
      <c r="E19">
        <v>89080</v>
      </c>
      <c r="F19">
        <v>41</v>
      </c>
      <c r="G19">
        <v>4.62</v>
      </c>
      <c r="H19">
        <v>5</v>
      </c>
      <c r="I19">
        <v>88.82</v>
      </c>
      <c r="J19">
        <v>2019</v>
      </c>
      <c r="K19">
        <v>19</v>
      </c>
      <c r="L19">
        <v>12</v>
      </c>
      <c r="M19">
        <v>4.4800000000000004</v>
      </c>
      <c r="N19">
        <v>74</v>
      </c>
      <c r="O19" t="s">
        <v>126</v>
      </c>
      <c r="P19">
        <v>16</v>
      </c>
      <c r="Q19">
        <v>0</v>
      </c>
      <c r="R19" t="s">
        <v>128</v>
      </c>
    </row>
    <row r="20" spans="1:18" x14ac:dyDescent="0.25">
      <c r="A20" t="s">
        <v>36</v>
      </c>
      <c r="B20" t="s">
        <v>86</v>
      </c>
      <c r="C20" t="s">
        <v>119</v>
      </c>
      <c r="D20" t="s">
        <v>124</v>
      </c>
      <c r="E20">
        <v>42693</v>
      </c>
      <c r="F20">
        <v>35</v>
      </c>
      <c r="G20">
        <v>4.6399999999999997</v>
      </c>
      <c r="H20">
        <v>1</v>
      </c>
      <c r="I20">
        <v>89.31</v>
      </c>
      <c r="J20">
        <v>2019</v>
      </c>
      <c r="K20">
        <v>4</v>
      </c>
      <c r="L20">
        <v>3</v>
      </c>
      <c r="M20">
        <v>3.48</v>
      </c>
      <c r="N20">
        <v>95</v>
      </c>
      <c r="O20" t="s">
        <v>127</v>
      </c>
      <c r="P20">
        <v>13</v>
      </c>
      <c r="Q20">
        <v>10</v>
      </c>
      <c r="R20" t="s">
        <v>128</v>
      </c>
    </row>
    <row r="21" spans="1:18" x14ac:dyDescent="0.25">
      <c r="A21" t="s">
        <v>37</v>
      </c>
      <c r="B21" t="s">
        <v>87</v>
      </c>
      <c r="C21" t="s">
        <v>118</v>
      </c>
      <c r="D21" t="s">
        <v>124</v>
      </c>
      <c r="E21">
        <v>109163</v>
      </c>
      <c r="F21">
        <v>33</v>
      </c>
      <c r="G21">
        <v>3.51</v>
      </c>
      <c r="H21">
        <v>3</v>
      </c>
      <c r="I21">
        <v>99.51</v>
      </c>
      <c r="J21">
        <v>2021</v>
      </c>
      <c r="K21">
        <v>11</v>
      </c>
      <c r="L21">
        <v>1</v>
      </c>
      <c r="M21">
        <v>3.76</v>
      </c>
      <c r="N21">
        <v>26</v>
      </c>
      <c r="O21" t="s">
        <v>127</v>
      </c>
      <c r="P21">
        <v>14</v>
      </c>
      <c r="Q21">
        <v>4</v>
      </c>
      <c r="R21" t="s">
        <v>129</v>
      </c>
    </row>
    <row r="22" spans="1:18" x14ac:dyDescent="0.25">
      <c r="A22" t="s">
        <v>38</v>
      </c>
      <c r="B22" t="s">
        <v>88</v>
      </c>
      <c r="C22" t="s">
        <v>118</v>
      </c>
      <c r="D22" t="s">
        <v>122</v>
      </c>
      <c r="E22">
        <v>65939</v>
      </c>
      <c r="F22">
        <v>40</v>
      </c>
      <c r="G22">
        <v>4.72</v>
      </c>
      <c r="H22">
        <v>4</v>
      </c>
      <c r="I22">
        <v>76.88</v>
      </c>
      <c r="J22">
        <v>2018</v>
      </c>
      <c r="K22">
        <v>15</v>
      </c>
      <c r="L22">
        <v>1</v>
      </c>
      <c r="M22">
        <v>4.07</v>
      </c>
      <c r="N22">
        <v>80</v>
      </c>
      <c r="O22" t="s">
        <v>126</v>
      </c>
      <c r="P22">
        <v>0</v>
      </c>
      <c r="Q22">
        <v>9</v>
      </c>
      <c r="R22" t="s">
        <v>128</v>
      </c>
    </row>
    <row r="23" spans="1:18" x14ac:dyDescent="0.25">
      <c r="A23" t="s">
        <v>39</v>
      </c>
      <c r="B23" t="s">
        <v>89</v>
      </c>
      <c r="C23" t="s">
        <v>118</v>
      </c>
      <c r="D23" t="s">
        <v>124</v>
      </c>
      <c r="E23">
        <v>88925</v>
      </c>
      <c r="F23">
        <v>46</v>
      </c>
      <c r="G23">
        <v>4.63</v>
      </c>
      <c r="H23">
        <v>0</v>
      </c>
      <c r="I23">
        <v>82.64</v>
      </c>
      <c r="J23">
        <v>2020</v>
      </c>
      <c r="K23">
        <v>25</v>
      </c>
      <c r="L23">
        <v>8</v>
      </c>
      <c r="M23">
        <v>3.99</v>
      </c>
      <c r="N23">
        <v>98</v>
      </c>
      <c r="O23" t="s">
        <v>127</v>
      </c>
      <c r="P23">
        <v>2</v>
      </c>
      <c r="Q23">
        <v>14</v>
      </c>
      <c r="R23" t="s">
        <v>128</v>
      </c>
    </row>
    <row r="24" spans="1:18" x14ac:dyDescent="0.25">
      <c r="A24" t="s">
        <v>40</v>
      </c>
      <c r="B24" t="s">
        <v>90</v>
      </c>
      <c r="C24" t="s">
        <v>118</v>
      </c>
      <c r="D24" t="s">
        <v>124</v>
      </c>
      <c r="E24">
        <v>82941</v>
      </c>
      <c r="F24">
        <v>35</v>
      </c>
      <c r="G24">
        <v>4.84</v>
      </c>
      <c r="H24">
        <v>3</v>
      </c>
      <c r="I24">
        <v>79.77</v>
      </c>
      <c r="J24">
        <v>2018</v>
      </c>
      <c r="K24">
        <v>25</v>
      </c>
      <c r="L24">
        <v>10</v>
      </c>
      <c r="M24">
        <v>3.78</v>
      </c>
      <c r="N24">
        <v>54</v>
      </c>
      <c r="O24" t="s">
        <v>126</v>
      </c>
      <c r="P24">
        <v>15</v>
      </c>
      <c r="Q24">
        <v>8</v>
      </c>
      <c r="R24" t="s">
        <v>128</v>
      </c>
    </row>
    <row r="25" spans="1:18" x14ac:dyDescent="0.25">
      <c r="A25" t="s">
        <v>41</v>
      </c>
      <c r="B25" t="s">
        <v>91</v>
      </c>
      <c r="C25" t="s">
        <v>118</v>
      </c>
      <c r="D25" t="s">
        <v>122</v>
      </c>
      <c r="E25">
        <v>61834</v>
      </c>
      <c r="F25">
        <v>34</v>
      </c>
      <c r="G25">
        <v>4.46</v>
      </c>
      <c r="H25">
        <v>1</v>
      </c>
      <c r="I25">
        <v>81.709999999999994</v>
      </c>
      <c r="J25">
        <v>2017</v>
      </c>
      <c r="K25">
        <v>15</v>
      </c>
      <c r="L25">
        <v>11</v>
      </c>
      <c r="M25">
        <v>3.6</v>
      </c>
      <c r="N25">
        <v>13</v>
      </c>
      <c r="O25" t="s">
        <v>127</v>
      </c>
      <c r="P25">
        <v>10</v>
      </c>
      <c r="Q25">
        <v>5</v>
      </c>
      <c r="R25" t="s">
        <v>128</v>
      </c>
    </row>
    <row r="26" spans="1:18" x14ac:dyDescent="0.25">
      <c r="A26" t="s">
        <v>42</v>
      </c>
      <c r="B26" t="s">
        <v>92</v>
      </c>
      <c r="C26" t="s">
        <v>118</v>
      </c>
      <c r="D26" t="s">
        <v>124</v>
      </c>
      <c r="E26">
        <v>58047</v>
      </c>
      <c r="F26">
        <v>49</v>
      </c>
      <c r="G26">
        <v>4.17</v>
      </c>
      <c r="H26">
        <v>5</v>
      </c>
      <c r="I26">
        <v>87.13</v>
      </c>
      <c r="J26">
        <v>2021</v>
      </c>
      <c r="K26">
        <v>20</v>
      </c>
      <c r="L26">
        <v>12</v>
      </c>
      <c r="M26">
        <v>3.2</v>
      </c>
      <c r="N26">
        <v>45</v>
      </c>
      <c r="O26" t="s">
        <v>126</v>
      </c>
      <c r="P26">
        <v>11</v>
      </c>
      <c r="Q26">
        <v>10</v>
      </c>
      <c r="R26" t="s">
        <v>128</v>
      </c>
    </row>
    <row r="27" spans="1:18" x14ac:dyDescent="0.25">
      <c r="A27" t="s">
        <v>43</v>
      </c>
      <c r="B27" t="s">
        <v>93</v>
      </c>
      <c r="C27" t="s">
        <v>118</v>
      </c>
      <c r="D27" t="s">
        <v>120</v>
      </c>
      <c r="E27">
        <v>66105</v>
      </c>
      <c r="F27">
        <v>31</v>
      </c>
      <c r="G27">
        <v>3.95</v>
      </c>
      <c r="H27">
        <v>4</v>
      </c>
      <c r="I27">
        <v>84.32</v>
      </c>
      <c r="J27">
        <v>2022</v>
      </c>
      <c r="K27">
        <v>6</v>
      </c>
      <c r="L27">
        <v>13</v>
      </c>
      <c r="M27">
        <v>3.11</v>
      </c>
      <c r="N27">
        <v>79</v>
      </c>
      <c r="O27" t="s">
        <v>127</v>
      </c>
      <c r="P27">
        <v>9</v>
      </c>
      <c r="Q27">
        <v>10</v>
      </c>
      <c r="R27" t="s">
        <v>129</v>
      </c>
    </row>
    <row r="28" spans="1:18" x14ac:dyDescent="0.25">
      <c r="A28" t="s">
        <v>44</v>
      </c>
      <c r="B28" t="s">
        <v>94</v>
      </c>
      <c r="C28" t="s">
        <v>118</v>
      </c>
      <c r="D28" t="s">
        <v>121</v>
      </c>
      <c r="E28">
        <v>115766</v>
      </c>
      <c r="F28">
        <v>35</v>
      </c>
      <c r="G28">
        <v>3.43</v>
      </c>
      <c r="H28">
        <v>3</v>
      </c>
      <c r="I28">
        <v>84.87</v>
      </c>
      <c r="J28">
        <v>2018</v>
      </c>
      <c r="K28">
        <v>3</v>
      </c>
      <c r="L28">
        <v>13</v>
      </c>
      <c r="M28">
        <v>4.92</v>
      </c>
      <c r="N28">
        <v>40</v>
      </c>
      <c r="O28" t="s">
        <v>127</v>
      </c>
      <c r="P28">
        <v>15</v>
      </c>
      <c r="Q28">
        <v>0</v>
      </c>
      <c r="R28" t="s">
        <v>129</v>
      </c>
    </row>
    <row r="29" spans="1:18" x14ac:dyDescent="0.25">
      <c r="A29" t="s">
        <v>45</v>
      </c>
      <c r="B29" t="s">
        <v>95</v>
      </c>
      <c r="C29" t="s">
        <v>118</v>
      </c>
      <c r="D29" t="s">
        <v>121</v>
      </c>
      <c r="E29">
        <v>55707</v>
      </c>
      <c r="F29">
        <v>40</v>
      </c>
      <c r="G29">
        <v>4.8499999999999996</v>
      </c>
      <c r="H29">
        <v>0</v>
      </c>
      <c r="I29">
        <v>96.11</v>
      </c>
      <c r="J29">
        <v>2016</v>
      </c>
      <c r="K29">
        <v>0</v>
      </c>
      <c r="L29">
        <v>12</v>
      </c>
      <c r="M29">
        <v>4.6900000000000004</v>
      </c>
      <c r="N29">
        <v>28</v>
      </c>
      <c r="O29" t="s">
        <v>127</v>
      </c>
      <c r="P29">
        <v>7</v>
      </c>
      <c r="Q29">
        <v>12</v>
      </c>
      <c r="R29" t="s">
        <v>128</v>
      </c>
    </row>
    <row r="30" spans="1:18" x14ac:dyDescent="0.25">
      <c r="A30" t="s">
        <v>46</v>
      </c>
      <c r="B30" t="s">
        <v>96</v>
      </c>
      <c r="C30" t="s">
        <v>118</v>
      </c>
      <c r="D30" t="s">
        <v>122</v>
      </c>
      <c r="E30">
        <v>61976</v>
      </c>
      <c r="F30">
        <v>45</v>
      </c>
      <c r="G30">
        <v>4.93</v>
      </c>
      <c r="H30">
        <v>0</v>
      </c>
      <c r="I30">
        <v>98.25</v>
      </c>
      <c r="J30">
        <v>2017</v>
      </c>
      <c r="K30">
        <v>29</v>
      </c>
      <c r="L30">
        <v>14</v>
      </c>
      <c r="M30">
        <v>3.71</v>
      </c>
      <c r="N30">
        <v>70</v>
      </c>
      <c r="O30" t="s">
        <v>127</v>
      </c>
      <c r="P30">
        <v>5</v>
      </c>
      <c r="Q30">
        <v>0</v>
      </c>
      <c r="R30" t="s">
        <v>128</v>
      </c>
    </row>
    <row r="31" spans="1:18" x14ac:dyDescent="0.25">
      <c r="A31" t="s">
        <v>47</v>
      </c>
      <c r="B31" t="s">
        <v>97</v>
      </c>
      <c r="C31" t="s">
        <v>118</v>
      </c>
      <c r="D31" t="s">
        <v>123</v>
      </c>
      <c r="E31">
        <v>84262</v>
      </c>
      <c r="F31">
        <v>45</v>
      </c>
      <c r="G31">
        <v>3.21</v>
      </c>
      <c r="H31">
        <v>2</v>
      </c>
      <c r="I31">
        <v>76.760000000000005</v>
      </c>
      <c r="J31">
        <v>2015</v>
      </c>
      <c r="K31">
        <v>29</v>
      </c>
      <c r="L31">
        <v>2</v>
      </c>
      <c r="M31">
        <v>4.91</v>
      </c>
      <c r="N31">
        <v>63</v>
      </c>
      <c r="O31" t="s">
        <v>127</v>
      </c>
      <c r="P31">
        <v>11</v>
      </c>
      <c r="Q31">
        <v>1</v>
      </c>
      <c r="R31" t="s">
        <v>129</v>
      </c>
    </row>
    <row r="32" spans="1:18" x14ac:dyDescent="0.25">
      <c r="A32" t="s">
        <v>48</v>
      </c>
      <c r="B32" t="s">
        <v>98</v>
      </c>
      <c r="C32" t="s">
        <v>119</v>
      </c>
      <c r="D32" t="s">
        <v>122</v>
      </c>
      <c r="E32">
        <v>63776</v>
      </c>
      <c r="F32">
        <v>30</v>
      </c>
      <c r="G32">
        <v>3.26</v>
      </c>
      <c r="H32">
        <v>2</v>
      </c>
      <c r="I32">
        <v>80.22</v>
      </c>
      <c r="J32">
        <v>2022</v>
      </c>
      <c r="K32">
        <v>4</v>
      </c>
      <c r="L32">
        <v>13</v>
      </c>
      <c r="M32">
        <v>4.3499999999999996</v>
      </c>
      <c r="N32">
        <v>48</v>
      </c>
      <c r="O32" t="s">
        <v>127</v>
      </c>
      <c r="P32">
        <v>7</v>
      </c>
      <c r="Q32">
        <v>8</v>
      </c>
      <c r="R32" t="s">
        <v>129</v>
      </c>
    </row>
    <row r="33" spans="1:18" x14ac:dyDescent="0.25">
      <c r="A33" t="s">
        <v>49</v>
      </c>
      <c r="B33" t="s">
        <v>99</v>
      </c>
      <c r="C33" t="s">
        <v>119</v>
      </c>
      <c r="D33" t="s">
        <v>123</v>
      </c>
      <c r="E33">
        <v>70080</v>
      </c>
      <c r="F33">
        <v>38</v>
      </c>
      <c r="G33">
        <v>3.71</v>
      </c>
      <c r="H33">
        <v>1</v>
      </c>
      <c r="I33">
        <v>91.78</v>
      </c>
      <c r="J33">
        <v>2017</v>
      </c>
      <c r="K33">
        <v>22</v>
      </c>
      <c r="L33">
        <v>3</v>
      </c>
      <c r="M33">
        <v>3.97</v>
      </c>
      <c r="N33">
        <v>83</v>
      </c>
      <c r="O33" t="s">
        <v>127</v>
      </c>
      <c r="P33">
        <v>3</v>
      </c>
      <c r="Q33">
        <v>2</v>
      </c>
      <c r="R33" t="s">
        <v>129</v>
      </c>
    </row>
    <row r="34" spans="1:18" x14ac:dyDescent="0.25">
      <c r="A34" t="s">
        <v>50</v>
      </c>
      <c r="B34" t="s">
        <v>100</v>
      </c>
      <c r="C34" t="s">
        <v>118</v>
      </c>
      <c r="D34" t="s">
        <v>121</v>
      </c>
      <c r="E34">
        <v>106842</v>
      </c>
      <c r="F34">
        <v>35</v>
      </c>
      <c r="G34">
        <v>3.62</v>
      </c>
      <c r="H34">
        <v>3</v>
      </c>
      <c r="I34">
        <v>83.97</v>
      </c>
      <c r="J34">
        <v>2021</v>
      </c>
      <c r="K34">
        <v>25</v>
      </c>
      <c r="L34">
        <v>2</v>
      </c>
      <c r="M34">
        <v>3.99</v>
      </c>
      <c r="N34">
        <v>99</v>
      </c>
      <c r="O34" t="s">
        <v>127</v>
      </c>
      <c r="P34">
        <v>7</v>
      </c>
      <c r="Q34">
        <v>14</v>
      </c>
      <c r="R34" t="s">
        <v>129</v>
      </c>
    </row>
    <row r="35" spans="1:18" x14ac:dyDescent="0.25">
      <c r="A35" t="s">
        <v>51</v>
      </c>
      <c r="B35" t="s">
        <v>101</v>
      </c>
      <c r="C35" t="s">
        <v>118</v>
      </c>
      <c r="D35" t="s">
        <v>122</v>
      </c>
      <c r="E35">
        <v>101373</v>
      </c>
      <c r="F35">
        <v>45</v>
      </c>
      <c r="G35">
        <v>4.99</v>
      </c>
      <c r="H35">
        <v>3</v>
      </c>
      <c r="I35">
        <v>81.349999999999994</v>
      </c>
      <c r="J35">
        <v>2019</v>
      </c>
      <c r="K35">
        <v>9</v>
      </c>
      <c r="L35">
        <v>3</v>
      </c>
      <c r="M35">
        <v>3.17</v>
      </c>
      <c r="N35">
        <v>28</v>
      </c>
      <c r="O35" t="s">
        <v>126</v>
      </c>
      <c r="P35">
        <v>17</v>
      </c>
      <c r="Q35">
        <v>0</v>
      </c>
      <c r="R35" t="s">
        <v>128</v>
      </c>
    </row>
    <row r="36" spans="1:18" x14ac:dyDescent="0.25">
      <c r="A36" t="s">
        <v>52</v>
      </c>
      <c r="B36" t="s">
        <v>102</v>
      </c>
      <c r="C36" t="s">
        <v>118</v>
      </c>
      <c r="D36" t="s">
        <v>125</v>
      </c>
      <c r="E36">
        <v>46776</v>
      </c>
      <c r="F36">
        <v>32</v>
      </c>
      <c r="G36">
        <v>2.94</v>
      </c>
      <c r="H36">
        <v>5</v>
      </c>
      <c r="I36">
        <v>82.38</v>
      </c>
      <c r="J36">
        <v>2019</v>
      </c>
      <c r="K36">
        <v>21</v>
      </c>
      <c r="L36">
        <v>7</v>
      </c>
      <c r="M36">
        <v>3.18</v>
      </c>
      <c r="N36">
        <v>48</v>
      </c>
      <c r="O36" t="s">
        <v>127</v>
      </c>
      <c r="P36">
        <v>4</v>
      </c>
      <c r="Q36">
        <v>4</v>
      </c>
      <c r="R36" t="s">
        <v>130</v>
      </c>
    </row>
    <row r="37" spans="1:18" x14ac:dyDescent="0.25">
      <c r="A37" t="s">
        <v>53</v>
      </c>
      <c r="B37" t="s">
        <v>103</v>
      </c>
      <c r="C37" t="s">
        <v>118</v>
      </c>
      <c r="D37" t="s">
        <v>120</v>
      </c>
      <c r="E37">
        <v>95016</v>
      </c>
      <c r="F37">
        <v>49</v>
      </c>
      <c r="G37">
        <v>2.5499999999999998</v>
      </c>
      <c r="H37">
        <v>5</v>
      </c>
      <c r="I37">
        <v>83.06</v>
      </c>
      <c r="J37">
        <v>2021</v>
      </c>
      <c r="K37">
        <v>4</v>
      </c>
      <c r="L37">
        <v>1</v>
      </c>
      <c r="M37">
        <v>4.2</v>
      </c>
      <c r="N37">
        <v>76</v>
      </c>
      <c r="O37" t="s">
        <v>127</v>
      </c>
      <c r="P37">
        <v>8</v>
      </c>
      <c r="Q37">
        <v>6</v>
      </c>
      <c r="R37" t="s">
        <v>130</v>
      </c>
    </row>
    <row r="38" spans="1:18" x14ac:dyDescent="0.25">
      <c r="A38" t="s">
        <v>54</v>
      </c>
      <c r="B38" t="s">
        <v>104</v>
      </c>
      <c r="C38" t="s">
        <v>118</v>
      </c>
      <c r="D38" t="s">
        <v>124</v>
      </c>
      <c r="E38">
        <v>49474</v>
      </c>
      <c r="F38">
        <v>33</v>
      </c>
      <c r="G38">
        <v>3.73</v>
      </c>
      <c r="H38">
        <v>5</v>
      </c>
      <c r="I38">
        <v>96.22</v>
      </c>
      <c r="J38">
        <v>2023</v>
      </c>
      <c r="K38">
        <v>3</v>
      </c>
      <c r="L38">
        <v>10</v>
      </c>
      <c r="M38">
        <v>4.1100000000000003</v>
      </c>
      <c r="N38">
        <v>54</v>
      </c>
      <c r="O38" t="s">
        <v>127</v>
      </c>
      <c r="P38">
        <v>3</v>
      </c>
      <c r="Q38">
        <v>5</v>
      </c>
      <c r="R38" t="s">
        <v>129</v>
      </c>
    </row>
    <row r="39" spans="1:18" x14ac:dyDescent="0.25">
      <c r="A39" t="s">
        <v>55</v>
      </c>
      <c r="B39" t="s">
        <v>105</v>
      </c>
      <c r="C39" t="s">
        <v>118</v>
      </c>
      <c r="D39" t="s">
        <v>123</v>
      </c>
      <c r="E39">
        <v>98053</v>
      </c>
      <c r="F39">
        <v>48</v>
      </c>
      <c r="G39">
        <v>2.95</v>
      </c>
      <c r="H39">
        <v>2</v>
      </c>
      <c r="I39">
        <v>78.42</v>
      </c>
      <c r="J39">
        <v>2019</v>
      </c>
      <c r="K39">
        <v>1</v>
      </c>
      <c r="L39">
        <v>8</v>
      </c>
      <c r="M39">
        <v>3.43</v>
      </c>
      <c r="N39">
        <v>22</v>
      </c>
      <c r="O39" t="s">
        <v>127</v>
      </c>
      <c r="P39">
        <v>16</v>
      </c>
      <c r="Q39">
        <v>11</v>
      </c>
      <c r="R39" t="s">
        <v>130</v>
      </c>
    </row>
    <row r="40" spans="1:18" x14ac:dyDescent="0.25">
      <c r="A40" t="s">
        <v>56</v>
      </c>
      <c r="B40" t="s">
        <v>106</v>
      </c>
      <c r="C40" t="s">
        <v>118</v>
      </c>
      <c r="D40" t="s">
        <v>125</v>
      </c>
      <c r="E40">
        <v>61959</v>
      </c>
      <c r="F40">
        <v>32</v>
      </c>
      <c r="G40">
        <v>3.42</v>
      </c>
      <c r="H40">
        <v>3</v>
      </c>
      <c r="I40">
        <v>92.72</v>
      </c>
      <c r="J40">
        <v>2015</v>
      </c>
      <c r="K40">
        <v>19</v>
      </c>
      <c r="L40">
        <v>13</v>
      </c>
      <c r="M40">
        <v>4.8899999999999997</v>
      </c>
      <c r="N40">
        <v>67</v>
      </c>
      <c r="O40" t="s">
        <v>127</v>
      </c>
      <c r="P40">
        <v>8</v>
      </c>
      <c r="Q40">
        <v>0</v>
      </c>
      <c r="R40" t="s">
        <v>129</v>
      </c>
    </row>
    <row r="41" spans="1:18" x14ac:dyDescent="0.25">
      <c r="A41" t="s">
        <v>57</v>
      </c>
      <c r="B41" t="s">
        <v>107</v>
      </c>
      <c r="C41" t="s">
        <v>118</v>
      </c>
      <c r="D41" t="s">
        <v>124</v>
      </c>
      <c r="E41">
        <v>45530</v>
      </c>
      <c r="F41">
        <v>48</v>
      </c>
      <c r="G41">
        <v>4.3600000000000003</v>
      </c>
      <c r="H41">
        <v>3</v>
      </c>
      <c r="I41">
        <v>88.82</v>
      </c>
      <c r="J41">
        <v>2015</v>
      </c>
      <c r="K41">
        <v>9</v>
      </c>
      <c r="L41">
        <v>10</v>
      </c>
      <c r="M41">
        <v>4.5599999999999996</v>
      </c>
      <c r="N41">
        <v>29</v>
      </c>
      <c r="O41" t="s">
        <v>126</v>
      </c>
      <c r="P41">
        <v>0</v>
      </c>
      <c r="Q41">
        <v>4</v>
      </c>
      <c r="R41" t="s">
        <v>128</v>
      </c>
    </row>
    <row r="42" spans="1:18" x14ac:dyDescent="0.25">
      <c r="A42" t="s">
        <v>58</v>
      </c>
      <c r="B42" t="s">
        <v>108</v>
      </c>
      <c r="C42" t="s">
        <v>119</v>
      </c>
      <c r="D42" t="s">
        <v>124</v>
      </c>
      <c r="E42">
        <v>43748</v>
      </c>
      <c r="F42">
        <v>49</v>
      </c>
      <c r="G42">
        <v>4.3</v>
      </c>
      <c r="H42">
        <v>0</v>
      </c>
      <c r="I42">
        <v>82.41</v>
      </c>
      <c r="J42">
        <v>2016</v>
      </c>
      <c r="K42">
        <v>25</v>
      </c>
      <c r="L42">
        <v>10</v>
      </c>
      <c r="M42">
        <v>3.23</v>
      </c>
      <c r="N42">
        <v>81</v>
      </c>
      <c r="O42" t="s">
        <v>127</v>
      </c>
      <c r="P42">
        <v>19</v>
      </c>
      <c r="Q42">
        <v>14</v>
      </c>
      <c r="R42" t="s">
        <v>128</v>
      </c>
    </row>
    <row r="43" spans="1:18" x14ac:dyDescent="0.25">
      <c r="A43" t="s">
        <v>59</v>
      </c>
      <c r="B43" t="s">
        <v>109</v>
      </c>
      <c r="C43" t="s">
        <v>118</v>
      </c>
      <c r="D43" t="s">
        <v>122</v>
      </c>
      <c r="E43">
        <v>53545</v>
      </c>
      <c r="F43">
        <v>36</v>
      </c>
      <c r="G43">
        <v>3.27</v>
      </c>
      <c r="H43">
        <v>2</v>
      </c>
      <c r="I43">
        <v>85.49</v>
      </c>
      <c r="J43">
        <v>2020</v>
      </c>
      <c r="K43">
        <v>18</v>
      </c>
      <c r="L43">
        <v>10</v>
      </c>
      <c r="M43">
        <v>4.8600000000000003</v>
      </c>
      <c r="N43">
        <v>70</v>
      </c>
      <c r="O43" t="s">
        <v>127</v>
      </c>
      <c r="P43">
        <v>12</v>
      </c>
      <c r="Q43">
        <v>4</v>
      </c>
      <c r="R43" t="s">
        <v>129</v>
      </c>
    </row>
    <row r="44" spans="1:18" x14ac:dyDescent="0.25">
      <c r="A44" t="s">
        <v>60</v>
      </c>
      <c r="B44" t="s">
        <v>110</v>
      </c>
      <c r="C44" t="s">
        <v>119</v>
      </c>
      <c r="D44" t="s">
        <v>124</v>
      </c>
      <c r="E44">
        <v>106199</v>
      </c>
      <c r="F44">
        <v>49</v>
      </c>
      <c r="G44">
        <v>3.86</v>
      </c>
      <c r="H44">
        <v>4</v>
      </c>
      <c r="I44">
        <v>81.41</v>
      </c>
      <c r="J44">
        <v>2023</v>
      </c>
      <c r="K44">
        <v>25</v>
      </c>
      <c r="L44">
        <v>14</v>
      </c>
      <c r="M44">
        <v>4.95</v>
      </c>
      <c r="N44">
        <v>48</v>
      </c>
      <c r="O44" t="s">
        <v>127</v>
      </c>
      <c r="P44">
        <v>15</v>
      </c>
      <c r="Q44">
        <v>5</v>
      </c>
      <c r="R44" t="s">
        <v>129</v>
      </c>
    </row>
    <row r="45" spans="1:18" x14ac:dyDescent="0.25">
      <c r="A45" t="s">
        <v>61</v>
      </c>
      <c r="B45" t="s">
        <v>111</v>
      </c>
      <c r="C45" t="s">
        <v>118</v>
      </c>
      <c r="D45" t="s">
        <v>120</v>
      </c>
      <c r="E45">
        <v>74766</v>
      </c>
      <c r="F45">
        <v>38</v>
      </c>
      <c r="G45">
        <v>3.77</v>
      </c>
      <c r="H45">
        <v>2</v>
      </c>
      <c r="I45">
        <v>90.29</v>
      </c>
      <c r="J45">
        <v>2022</v>
      </c>
      <c r="K45">
        <v>0</v>
      </c>
      <c r="L45">
        <v>2</v>
      </c>
      <c r="M45">
        <v>4.99</v>
      </c>
      <c r="N45">
        <v>10</v>
      </c>
      <c r="O45" t="s">
        <v>127</v>
      </c>
      <c r="P45">
        <v>12</v>
      </c>
      <c r="Q45">
        <v>2</v>
      </c>
      <c r="R45" t="s">
        <v>129</v>
      </c>
    </row>
    <row r="46" spans="1:18" x14ac:dyDescent="0.25">
      <c r="A46" t="s">
        <v>62</v>
      </c>
      <c r="B46" t="s">
        <v>112</v>
      </c>
      <c r="C46" t="s">
        <v>118</v>
      </c>
      <c r="D46" t="s">
        <v>125</v>
      </c>
      <c r="E46">
        <v>113530</v>
      </c>
      <c r="F46">
        <v>30</v>
      </c>
      <c r="G46">
        <v>4.09</v>
      </c>
      <c r="H46">
        <v>4</v>
      </c>
      <c r="I46">
        <v>77.040000000000006</v>
      </c>
      <c r="J46">
        <v>2019</v>
      </c>
      <c r="K46">
        <v>23</v>
      </c>
      <c r="L46">
        <v>3</v>
      </c>
      <c r="M46">
        <v>3.11</v>
      </c>
      <c r="N46">
        <v>12</v>
      </c>
      <c r="O46" t="s">
        <v>126</v>
      </c>
      <c r="P46">
        <v>13</v>
      </c>
      <c r="Q46">
        <v>4</v>
      </c>
      <c r="R46" t="s">
        <v>128</v>
      </c>
    </row>
    <row r="47" spans="1:18" x14ac:dyDescent="0.25">
      <c r="A47" t="s">
        <v>63</v>
      </c>
      <c r="B47" t="s">
        <v>113</v>
      </c>
      <c r="C47" t="s">
        <v>119</v>
      </c>
      <c r="D47" t="s">
        <v>124</v>
      </c>
      <c r="E47">
        <v>101087</v>
      </c>
      <c r="F47">
        <v>37</v>
      </c>
      <c r="G47">
        <v>3.13</v>
      </c>
      <c r="H47">
        <v>0</v>
      </c>
      <c r="I47">
        <v>75.13</v>
      </c>
      <c r="J47">
        <v>2015</v>
      </c>
      <c r="K47">
        <v>4</v>
      </c>
      <c r="L47">
        <v>9</v>
      </c>
      <c r="M47">
        <v>4.47</v>
      </c>
      <c r="N47">
        <v>86</v>
      </c>
      <c r="O47" t="s">
        <v>127</v>
      </c>
      <c r="P47">
        <v>2</v>
      </c>
      <c r="Q47">
        <v>6</v>
      </c>
      <c r="R47" t="s">
        <v>129</v>
      </c>
    </row>
    <row r="48" spans="1:18" x14ac:dyDescent="0.25">
      <c r="A48" t="s">
        <v>64</v>
      </c>
      <c r="B48" t="s">
        <v>114</v>
      </c>
      <c r="C48" t="s">
        <v>118</v>
      </c>
      <c r="D48" t="s">
        <v>122</v>
      </c>
      <c r="E48">
        <v>108840</v>
      </c>
      <c r="F48">
        <v>36</v>
      </c>
      <c r="G48">
        <v>3.97</v>
      </c>
      <c r="H48">
        <v>1</v>
      </c>
      <c r="I48">
        <v>90.7</v>
      </c>
      <c r="J48">
        <v>2021</v>
      </c>
      <c r="K48">
        <v>12</v>
      </c>
      <c r="L48">
        <v>7</v>
      </c>
      <c r="M48">
        <v>4.09</v>
      </c>
      <c r="N48">
        <v>71</v>
      </c>
      <c r="O48" t="s">
        <v>127</v>
      </c>
      <c r="P48">
        <v>5</v>
      </c>
      <c r="Q48">
        <v>4</v>
      </c>
      <c r="R48" t="s">
        <v>129</v>
      </c>
    </row>
    <row r="49" spans="1:18" x14ac:dyDescent="0.25">
      <c r="A49" t="s">
        <v>65</v>
      </c>
      <c r="B49" t="s">
        <v>115</v>
      </c>
      <c r="C49" t="s">
        <v>119</v>
      </c>
      <c r="D49" t="s">
        <v>120</v>
      </c>
      <c r="E49">
        <v>94384</v>
      </c>
      <c r="F49">
        <v>47</v>
      </c>
      <c r="G49">
        <v>4.95</v>
      </c>
      <c r="H49">
        <v>3</v>
      </c>
      <c r="I49">
        <v>79.86</v>
      </c>
      <c r="J49">
        <v>2019</v>
      </c>
      <c r="K49">
        <v>3</v>
      </c>
      <c r="L49">
        <v>4</v>
      </c>
      <c r="M49">
        <v>4.41</v>
      </c>
      <c r="N49">
        <v>72</v>
      </c>
      <c r="O49" t="s">
        <v>126</v>
      </c>
      <c r="P49">
        <v>17</v>
      </c>
      <c r="Q49">
        <v>4</v>
      </c>
      <c r="R49" t="s">
        <v>128</v>
      </c>
    </row>
    <row r="50" spans="1:18" x14ac:dyDescent="0.25">
      <c r="A50" t="s">
        <v>66</v>
      </c>
      <c r="B50" t="s">
        <v>116</v>
      </c>
      <c r="C50" t="s">
        <v>118</v>
      </c>
      <c r="D50" t="s">
        <v>121</v>
      </c>
      <c r="E50">
        <v>91005</v>
      </c>
      <c r="F50">
        <v>37</v>
      </c>
      <c r="G50">
        <v>3.72</v>
      </c>
      <c r="H50">
        <v>0</v>
      </c>
      <c r="I50">
        <v>76.77</v>
      </c>
      <c r="J50">
        <v>2020</v>
      </c>
      <c r="K50">
        <v>15</v>
      </c>
      <c r="L50">
        <v>10</v>
      </c>
      <c r="M50">
        <v>4.9400000000000004</v>
      </c>
      <c r="N50">
        <v>34</v>
      </c>
      <c r="O50" t="s">
        <v>127</v>
      </c>
      <c r="P50">
        <v>18</v>
      </c>
      <c r="Q50">
        <v>4</v>
      </c>
      <c r="R50" t="s">
        <v>129</v>
      </c>
    </row>
    <row r="51" spans="1:18" x14ac:dyDescent="0.25">
      <c r="A51" t="s">
        <v>67</v>
      </c>
      <c r="B51" t="s">
        <v>117</v>
      </c>
      <c r="C51" t="s">
        <v>118</v>
      </c>
      <c r="D51" t="s">
        <v>125</v>
      </c>
      <c r="E51">
        <v>86576</v>
      </c>
      <c r="F51">
        <v>30</v>
      </c>
      <c r="G51">
        <v>4.7699999999999996</v>
      </c>
      <c r="H51">
        <v>3</v>
      </c>
      <c r="I51">
        <v>84.92</v>
      </c>
      <c r="J51">
        <v>2021</v>
      </c>
      <c r="K51">
        <v>23</v>
      </c>
      <c r="L51">
        <v>5</v>
      </c>
      <c r="M51">
        <v>4.38</v>
      </c>
      <c r="N51">
        <v>65</v>
      </c>
      <c r="O51" t="s">
        <v>126</v>
      </c>
      <c r="P51">
        <v>4</v>
      </c>
      <c r="Q51">
        <v>9</v>
      </c>
      <c r="R51" t="s">
        <v>128</v>
      </c>
    </row>
    <row r="52" spans="1:18" x14ac:dyDescent="0.25">
      <c r="O52" t="e">
        <f>COUNTIF([1]Data!O2:O1000,"Yes")/COUNTA([1]Data!O2:O1000)</f>
        <v>#VALUE!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
  <sheetViews>
    <sheetView topLeftCell="H1" workbookViewId="0">
      <selection activeCell="O6" sqref="O6"/>
    </sheetView>
  </sheetViews>
  <sheetFormatPr defaultRowHeight="15" x14ac:dyDescent="0.25"/>
  <cols>
    <col min="1" max="1" width="13.140625" customWidth="1"/>
    <col min="2" max="2" width="27.7109375" customWidth="1"/>
    <col min="3" max="3" width="15.7109375" bestFit="1" customWidth="1"/>
    <col min="5" max="5" width="13.140625" customWidth="1"/>
    <col min="6" max="6" width="16.42578125" customWidth="1"/>
    <col min="7" max="7" width="13.140625" customWidth="1"/>
    <col min="8" max="8" width="16.42578125" bestFit="1" customWidth="1"/>
    <col min="11" max="11" width="14.42578125" customWidth="1"/>
    <col min="12" max="12" width="20.42578125" bestFit="1" customWidth="1"/>
    <col min="14" max="14" width="13.140625" customWidth="1"/>
    <col min="15" max="15" width="25.5703125" customWidth="1"/>
    <col min="18" max="18" width="13.140625" customWidth="1"/>
    <col min="19" max="19" width="28.28515625" customWidth="1"/>
    <col min="20" max="20" width="33.42578125" customWidth="1"/>
    <col min="24" max="24" width="18" bestFit="1" customWidth="1"/>
    <col min="25" max="25" width="23.140625" bestFit="1" customWidth="1"/>
  </cols>
  <sheetData>
    <row r="1" spans="1:25" x14ac:dyDescent="0.25">
      <c r="A1" t="s">
        <v>131</v>
      </c>
      <c r="C1" t="s">
        <v>132</v>
      </c>
      <c r="E1" s="3" t="s">
        <v>136</v>
      </c>
      <c r="F1" t="s">
        <v>133</v>
      </c>
      <c r="G1" s="3" t="s">
        <v>136</v>
      </c>
      <c r="H1" t="s">
        <v>133</v>
      </c>
      <c r="K1" s="3" t="s">
        <v>136</v>
      </c>
      <c r="L1" t="s">
        <v>131</v>
      </c>
      <c r="N1" s="3" t="s">
        <v>136</v>
      </c>
      <c r="O1" t="s">
        <v>141</v>
      </c>
      <c r="X1" s="11" t="s">
        <v>6</v>
      </c>
      <c r="Y1" s="11" t="s">
        <v>8</v>
      </c>
    </row>
    <row r="2" spans="1:25" x14ac:dyDescent="0.25">
      <c r="A2" s="2">
        <v>50</v>
      </c>
      <c r="C2">
        <f>GETPIVOTDATA("Employee ID",$A$1)</f>
        <v>50</v>
      </c>
      <c r="E2" s="6" t="s">
        <v>120</v>
      </c>
      <c r="F2" s="4">
        <v>81581.100000000006</v>
      </c>
      <c r="G2" s="6" t="s">
        <v>118</v>
      </c>
      <c r="H2" s="4">
        <v>82543.944444444438</v>
      </c>
      <c r="K2" s="6" t="s">
        <v>129</v>
      </c>
      <c r="L2" s="4">
        <v>22</v>
      </c>
      <c r="N2" s="6">
        <v>2015</v>
      </c>
      <c r="O2" s="4">
        <v>57</v>
      </c>
      <c r="R2" s="3" t="s">
        <v>2</v>
      </c>
      <c r="S2" t="s">
        <v>142</v>
      </c>
      <c r="X2" s="7">
        <v>4.1900000000000004</v>
      </c>
      <c r="Y2" s="7">
        <v>85.86</v>
      </c>
    </row>
    <row r="3" spans="1:25" x14ac:dyDescent="0.25">
      <c r="E3" s="6" t="s">
        <v>124</v>
      </c>
      <c r="F3" s="4">
        <v>72780.7</v>
      </c>
      <c r="G3" s="6" t="s">
        <v>119</v>
      </c>
      <c r="H3" s="4">
        <v>78248.071428571435</v>
      </c>
      <c r="K3" s="6" t="s">
        <v>130</v>
      </c>
      <c r="L3" s="4">
        <v>5</v>
      </c>
      <c r="N3" s="6">
        <v>2016</v>
      </c>
      <c r="O3" s="4">
        <v>35</v>
      </c>
      <c r="X3" s="8">
        <v>4.34</v>
      </c>
      <c r="Y3" s="8">
        <v>83.75</v>
      </c>
    </row>
    <row r="4" spans="1:25" x14ac:dyDescent="0.25">
      <c r="E4" s="6" t="s">
        <v>123</v>
      </c>
      <c r="F4" s="4">
        <v>93806.142857142855</v>
      </c>
      <c r="K4" s="6" t="s">
        <v>128</v>
      </c>
      <c r="L4" s="4">
        <v>23</v>
      </c>
      <c r="N4" s="6">
        <v>2017</v>
      </c>
      <c r="O4" s="4">
        <v>43</v>
      </c>
      <c r="R4" s="3" t="s">
        <v>136</v>
      </c>
      <c r="S4" t="s">
        <v>135</v>
      </c>
      <c r="T4" t="s">
        <v>138</v>
      </c>
      <c r="X4" s="7">
        <v>3.02</v>
      </c>
      <c r="Y4" s="7">
        <v>91.13</v>
      </c>
    </row>
    <row r="5" spans="1:25" x14ac:dyDescent="0.25">
      <c r="A5" t="s">
        <v>133</v>
      </c>
      <c r="C5" t="s">
        <v>134</v>
      </c>
      <c r="E5" s="6" t="s">
        <v>121</v>
      </c>
      <c r="F5" s="4">
        <v>92370.666666666672</v>
      </c>
      <c r="N5" s="6">
        <v>2018</v>
      </c>
      <c r="O5" s="4">
        <v>25</v>
      </c>
      <c r="R5" s="6" t="s">
        <v>120</v>
      </c>
      <c r="S5" s="4">
        <v>3.9560000000000004</v>
      </c>
      <c r="T5" s="4">
        <v>84.369</v>
      </c>
      <c r="X5" s="8">
        <v>3.85</v>
      </c>
      <c r="Y5" s="8">
        <v>91.72</v>
      </c>
    </row>
    <row r="6" spans="1:25" x14ac:dyDescent="0.25">
      <c r="A6" s="4">
        <v>81341.100000000006</v>
      </c>
      <c r="C6" s="4">
        <f>GETPIVOTDATA("Salary",$A$5)</f>
        <v>81341.100000000006</v>
      </c>
      <c r="E6" s="6" t="s">
        <v>125</v>
      </c>
      <c r="F6" s="4">
        <v>77210.25</v>
      </c>
      <c r="N6" s="6">
        <v>2019</v>
      </c>
      <c r="O6" s="4">
        <v>43</v>
      </c>
      <c r="R6" s="6" t="s">
        <v>124</v>
      </c>
      <c r="S6" s="4">
        <v>4.117</v>
      </c>
      <c r="T6" s="4">
        <v>86.234999999999985</v>
      </c>
      <c r="X6" s="7">
        <v>4.24</v>
      </c>
      <c r="Y6" s="7">
        <v>96.6</v>
      </c>
    </row>
    <row r="7" spans="1:25" x14ac:dyDescent="0.25">
      <c r="E7" s="6" t="s">
        <v>122</v>
      </c>
      <c r="F7" s="4">
        <v>77209.923076923078</v>
      </c>
      <c r="N7" s="6">
        <v>2020</v>
      </c>
      <c r="O7" s="4">
        <v>51</v>
      </c>
      <c r="R7" s="6" t="s">
        <v>123</v>
      </c>
      <c r="S7" s="4">
        <v>3.7400000000000007</v>
      </c>
      <c r="T7" s="4">
        <v>86.681428571428569</v>
      </c>
      <c r="X7" s="8">
        <v>3.07</v>
      </c>
      <c r="Y7" s="8">
        <v>80.75</v>
      </c>
    </row>
    <row r="8" spans="1:25" x14ac:dyDescent="0.25">
      <c r="N8" s="6">
        <v>2021</v>
      </c>
      <c r="O8" s="4">
        <v>41</v>
      </c>
      <c r="R8" s="6" t="s">
        <v>121</v>
      </c>
      <c r="S8" s="4">
        <v>3.813333333333333</v>
      </c>
      <c r="T8" s="4">
        <v>88.241666666666674</v>
      </c>
      <c r="X8" s="7">
        <v>2.94</v>
      </c>
      <c r="Y8" s="7">
        <v>87.48</v>
      </c>
    </row>
    <row r="9" spans="1:25" x14ac:dyDescent="0.25">
      <c r="A9" t="s">
        <v>135</v>
      </c>
      <c r="N9" s="6">
        <v>2022</v>
      </c>
      <c r="O9" s="4">
        <v>33</v>
      </c>
      <c r="R9" s="6" t="s">
        <v>125</v>
      </c>
      <c r="S9" s="4">
        <v>3.8049999999999997</v>
      </c>
      <c r="T9" s="4">
        <v>84.265000000000001</v>
      </c>
      <c r="X9" s="8">
        <v>4.96</v>
      </c>
      <c r="Y9" s="8">
        <v>89.3</v>
      </c>
    </row>
    <row r="10" spans="1:25" x14ac:dyDescent="0.25">
      <c r="A10" s="4">
        <v>3.9560000000000013</v>
      </c>
      <c r="C10" s="5">
        <f>GETPIVOTDATA("Performance Score",$A$9)</f>
        <v>3.9560000000000013</v>
      </c>
      <c r="N10" s="6">
        <v>2023</v>
      </c>
      <c r="O10" s="4">
        <v>36</v>
      </c>
      <c r="R10" s="6" t="s">
        <v>122</v>
      </c>
      <c r="S10" s="4">
        <v>4.0607692307692309</v>
      </c>
      <c r="T10" s="4">
        <v>88.314615384615394</v>
      </c>
      <c r="X10" s="7">
        <v>3.79</v>
      </c>
      <c r="Y10" s="7">
        <v>94.21</v>
      </c>
    </row>
    <row r="11" spans="1:25" x14ac:dyDescent="0.25">
      <c r="X11" s="8">
        <v>3.15</v>
      </c>
      <c r="Y11" s="8">
        <v>76.09</v>
      </c>
    </row>
    <row r="12" spans="1:25" x14ac:dyDescent="0.25">
      <c r="X12" s="7">
        <v>4.99</v>
      </c>
      <c r="Y12" s="7">
        <v>99.86</v>
      </c>
    </row>
    <row r="13" spans="1:25" x14ac:dyDescent="0.25">
      <c r="A13" s="3" t="s">
        <v>136</v>
      </c>
      <c r="B13" t="s">
        <v>135</v>
      </c>
      <c r="X13" s="8">
        <v>4.91</v>
      </c>
      <c r="Y13" s="8">
        <v>86.75</v>
      </c>
    </row>
    <row r="14" spans="1:25" x14ac:dyDescent="0.25">
      <c r="A14" s="6" t="s">
        <v>120</v>
      </c>
      <c r="B14" s="4">
        <v>3.9560000000000004</v>
      </c>
      <c r="C14" t="str">
        <f>INDEX(A14:A19, MATCH(MAX(B14:B19), B14:B19, 0))</f>
        <v>HR</v>
      </c>
      <c r="D14" s="4">
        <f>MAX(B14:B19)</f>
        <v>4.117</v>
      </c>
      <c r="X14" s="7">
        <v>3.9</v>
      </c>
      <c r="Y14" s="7">
        <v>81.99</v>
      </c>
    </row>
    <row r="15" spans="1:25" x14ac:dyDescent="0.25">
      <c r="A15" s="6" t="s">
        <v>124</v>
      </c>
      <c r="B15" s="4">
        <v>4.117</v>
      </c>
      <c r="X15" s="8">
        <v>4.71</v>
      </c>
      <c r="Y15" s="8">
        <v>97.09</v>
      </c>
    </row>
    <row r="16" spans="1:25" x14ac:dyDescent="0.25">
      <c r="A16" s="6" t="s">
        <v>123</v>
      </c>
      <c r="B16" s="4">
        <v>3.7400000000000007</v>
      </c>
      <c r="R16" s="3" t="s">
        <v>136</v>
      </c>
      <c r="S16" t="s">
        <v>140</v>
      </c>
      <c r="T16" t="s">
        <v>138</v>
      </c>
      <c r="X16" s="7">
        <v>2.97</v>
      </c>
      <c r="Y16" s="7">
        <v>93.69</v>
      </c>
    </row>
    <row r="17" spans="1:25" x14ac:dyDescent="0.25">
      <c r="A17" s="6" t="s">
        <v>121</v>
      </c>
      <c r="B17" s="4">
        <v>3.813333333333333</v>
      </c>
      <c r="R17" s="6" t="s">
        <v>120</v>
      </c>
      <c r="S17" s="4">
        <v>39.56</v>
      </c>
      <c r="T17" s="4">
        <v>84.369</v>
      </c>
      <c r="X17" s="8">
        <v>3.2</v>
      </c>
      <c r="Y17" s="8">
        <v>98.83</v>
      </c>
    </row>
    <row r="18" spans="1:25" x14ac:dyDescent="0.25">
      <c r="A18" s="6" t="s">
        <v>125</v>
      </c>
      <c r="B18" s="4">
        <v>3.8049999999999997</v>
      </c>
      <c r="R18" s="6" t="s">
        <v>124</v>
      </c>
      <c r="S18" s="4">
        <v>41.17</v>
      </c>
      <c r="T18" s="4">
        <v>86.234999999999985</v>
      </c>
      <c r="X18" s="7">
        <v>4.25</v>
      </c>
      <c r="Y18" s="7">
        <v>83.27</v>
      </c>
    </row>
    <row r="19" spans="1:25" x14ac:dyDescent="0.25">
      <c r="A19" s="6" t="s">
        <v>122</v>
      </c>
      <c r="B19" s="4">
        <v>4.0607692307692309</v>
      </c>
      <c r="R19" s="6" t="s">
        <v>123</v>
      </c>
      <c r="S19" s="4">
        <v>26.180000000000003</v>
      </c>
      <c r="T19" s="4">
        <v>86.681428571428569</v>
      </c>
      <c r="X19" s="8">
        <v>4.62</v>
      </c>
      <c r="Y19" s="8">
        <v>88.82</v>
      </c>
    </row>
    <row r="20" spans="1:25" x14ac:dyDescent="0.25">
      <c r="A20" s="6" t="s">
        <v>137</v>
      </c>
      <c r="B20" s="4">
        <v>3.9560000000000004</v>
      </c>
      <c r="R20" s="6" t="s">
        <v>121</v>
      </c>
      <c r="S20" s="4">
        <v>22.88</v>
      </c>
      <c r="T20" s="4">
        <v>88.241666666666674</v>
      </c>
      <c r="X20" s="7">
        <v>4.6399999999999997</v>
      </c>
      <c r="Y20" s="7">
        <v>89.31</v>
      </c>
    </row>
    <row r="21" spans="1:25" x14ac:dyDescent="0.25">
      <c r="R21" s="6" t="s">
        <v>125</v>
      </c>
      <c r="S21" s="4">
        <v>15.219999999999999</v>
      </c>
      <c r="T21" s="4">
        <v>84.265000000000001</v>
      </c>
      <c r="X21" s="8">
        <v>3.51</v>
      </c>
      <c r="Y21" s="8">
        <v>99.51</v>
      </c>
    </row>
    <row r="22" spans="1:25" x14ac:dyDescent="0.25">
      <c r="A22" t="s">
        <v>138</v>
      </c>
      <c r="R22" s="6" t="s">
        <v>122</v>
      </c>
      <c r="S22" s="4">
        <v>52.79</v>
      </c>
      <c r="T22" s="4">
        <v>88.314615384615394</v>
      </c>
      <c r="X22" s="7">
        <v>4.72</v>
      </c>
      <c r="Y22" s="7">
        <v>76.88</v>
      </c>
    </row>
    <row r="23" spans="1:25" x14ac:dyDescent="0.25">
      <c r="A23" s="4">
        <v>86.548199999999994</v>
      </c>
      <c r="C23" s="4">
        <f>GETPIVOTDATA("Monthly Attendance (%)",$A$22)</f>
        <v>86.548199999999994</v>
      </c>
      <c r="X23" s="8">
        <v>4.63</v>
      </c>
      <c r="Y23" s="8">
        <v>82.64</v>
      </c>
    </row>
    <row r="24" spans="1:25" x14ac:dyDescent="0.25">
      <c r="X24" s="7">
        <v>4.84</v>
      </c>
      <c r="Y24" s="7">
        <v>79.77</v>
      </c>
    </row>
    <row r="25" spans="1:25" x14ac:dyDescent="0.25">
      <c r="X25" s="8">
        <v>4.46</v>
      </c>
      <c r="Y25" s="8">
        <v>81.709999999999994</v>
      </c>
    </row>
    <row r="26" spans="1:25" x14ac:dyDescent="0.25">
      <c r="A26" s="3" t="s">
        <v>136</v>
      </c>
      <c r="B26" t="s">
        <v>139</v>
      </c>
      <c r="X26" s="7">
        <v>4.17</v>
      </c>
      <c r="Y26" s="7">
        <v>87.13</v>
      </c>
    </row>
    <row r="27" spans="1:25" x14ac:dyDescent="0.25">
      <c r="A27" s="6" t="s">
        <v>127</v>
      </c>
      <c r="B27" s="9">
        <v>0.7</v>
      </c>
      <c r="X27" s="8">
        <v>3.95</v>
      </c>
      <c r="Y27" s="8">
        <v>84.32</v>
      </c>
    </row>
    <row r="28" spans="1:25" x14ac:dyDescent="0.25">
      <c r="A28" s="6" t="s">
        <v>126</v>
      </c>
      <c r="B28" s="9">
        <v>0.3</v>
      </c>
      <c r="C28" s="10">
        <f>GETPIVOTDATA("Promotion Eligibility",$A$26,"Promotion Eligibility","Yes")</f>
        <v>0.3</v>
      </c>
      <c r="X28" s="7">
        <v>3.43</v>
      </c>
      <c r="Y28" s="7">
        <v>84.87</v>
      </c>
    </row>
    <row r="29" spans="1:25" x14ac:dyDescent="0.25">
      <c r="X29" s="8">
        <v>4.8499999999999996</v>
      </c>
      <c r="Y29" s="8">
        <v>96.11</v>
      </c>
    </row>
    <row r="30" spans="1:25" x14ac:dyDescent="0.25">
      <c r="X30" s="7">
        <v>4.93</v>
      </c>
      <c r="Y30" s="7">
        <v>98.25</v>
      </c>
    </row>
    <row r="31" spans="1:25" x14ac:dyDescent="0.25">
      <c r="X31" s="8">
        <v>3.21</v>
      </c>
      <c r="Y31" s="8">
        <v>76.760000000000005</v>
      </c>
    </row>
    <row r="32" spans="1:25" x14ac:dyDescent="0.25">
      <c r="X32" s="7">
        <v>3.26</v>
      </c>
      <c r="Y32" s="7">
        <v>80.22</v>
      </c>
    </row>
    <row r="33" spans="24:25" x14ac:dyDescent="0.25">
      <c r="X33" s="8">
        <v>3.71</v>
      </c>
      <c r="Y33" s="8">
        <v>91.78</v>
      </c>
    </row>
    <row r="34" spans="24:25" x14ac:dyDescent="0.25">
      <c r="X34" s="7">
        <v>3.62</v>
      </c>
      <c r="Y34" s="7">
        <v>83.97</v>
      </c>
    </row>
    <row r="35" spans="24:25" x14ac:dyDescent="0.25">
      <c r="X35" s="8">
        <v>4.99</v>
      </c>
      <c r="Y35" s="8">
        <v>81.349999999999994</v>
      </c>
    </row>
    <row r="36" spans="24:25" x14ac:dyDescent="0.25">
      <c r="X36" s="7">
        <v>2.94</v>
      </c>
      <c r="Y36" s="7">
        <v>82.38</v>
      </c>
    </row>
    <row r="37" spans="24:25" x14ac:dyDescent="0.25">
      <c r="X37" s="8">
        <v>2.5499999999999998</v>
      </c>
      <c r="Y37" s="8">
        <v>83.06</v>
      </c>
    </row>
    <row r="38" spans="24:25" x14ac:dyDescent="0.25">
      <c r="X38" s="7">
        <v>3.73</v>
      </c>
      <c r="Y38" s="7">
        <v>96.22</v>
      </c>
    </row>
    <row r="39" spans="24:25" x14ac:dyDescent="0.25">
      <c r="X39" s="8">
        <v>2.95</v>
      </c>
      <c r="Y39" s="8">
        <v>78.42</v>
      </c>
    </row>
    <row r="40" spans="24:25" x14ac:dyDescent="0.25">
      <c r="X40" s="7">
        <v>3.42</v>
      </c>
      <c r="Y40" s="7">
        <v>92.72</v>
      </c>
    </row>
    <row r="41" spans="24:25" x14ac:dyDescent="0.25">
      <c r="X41" s="8">
        <v>4.3600000000000003</v>
      </c>
      <c r="Y41" s="8">
        <v>88.82</v>
      </c>
    </row>
    <row r="42" spans="24:25" x14ac:dyDescent="0.25">
      <c r="X42" s="7">
        <v>4.3</v>
      </c>
      <c r="Y42" s="7">
        <v>82.41</v>
      </c>
    </row>
    <row r="43" spans="24:25" x14ac:dyDescent="0.25">
      <c r="X43" s="8">
        <v>3.27</v>
      </c>
      <c r="Y43" s="8">
        <v>85.49</v>
      </c>
    </row>
    <row r="44" spans="24:25" x14ac:dyDescent="0.25">
      <c r="X44" s="7">
        <v>3.86</v>
      </c>
      <c r="Y44" s="7">
        <v>81.41</v>
      </c>
    </row>
    <row r="45" spans="24:25" x14ac:dyDescent="0.25">
      <c r="X45" s="8">
        <v>3.77</v>
      </c>
      <c r="Y45" s="8">
        <v>90.29</v>
      </c>
    </row>
    <row r="46" spans="24:25" x14ac:dyDescent="0.25">
      <c r="X46" s="7">
        <v>4.09</v>
      </c>
      <c r="Y46" s="7">
        <v>77.040000000000006</v>
      </c>
    </row>
    <row r="47" spans="24:25" x14ac:dyDescent="0.25">
      <c r="X47" s="8">
        <v>3.13</v>
      </c>
      <c r="Y47" s="8">
        <v>75.13</v>
      </c>
    </row>
    <row r="48" spans="24:25" x14ac:dyDescent="0.25">
      <c r="X48" s="7">
        <v>3.97</v>
      </c>
      <c r="Y48" s="7">
        <v>90.7</v>
      </c>
    </row>
    <row r="49" spans="24:25" x14ac:dyDescent="0.25">
      <c r="X49" s="8">
        <v>4.95</v>
      </c>
      <c r="Y49" s="8">
        <v>79.86</v>
      </c>
    </row>
    <row r="50" spans="24:25" x14ac:dyDescent="0.25">
      <c r="X50" s="7">
        <v>3.72</v>
      </c>
      <c r="Y50" s="7">
        <v>76.77</v>
      </c>
    </row>
    <row r="51" spans="24:25" x14ac:dyDescent="0.25">
      <c r="X51" s="8">
        <v>4.7699999999999996</v>
      </c>
      <c r="Y51" s="8">
        <v>84.92</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G16" sqref="G16"/>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NEW</cp:lastModifiedBy>
  <dcterms:created xsi:type="dcterms:W3CDTF">2025-07-29T15:13:44Z</dcterms:created>
  <dcterms:modified xsi:type="dcterms:W3CDTF">2025-07-30T10:19:58Z</dcterms:modified>
</cp:coreProperties>
</file>